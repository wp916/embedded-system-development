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stu.hit.edu.cn\HardScalpel2_integer\"/>
    </mc:Choice>
  </mc:AlternateContent>
  <bookViews>
    <workbookView xWindow="-105" yWindow="-120" windowWidth="19200" windowHeight="9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3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E48" i="1" l="1"/>
  <c r="I48" i="1" s="1"/>
  <c r="G3" i="1"/>
  <c r="X18" i="1"/>
  <c r="X19" i="1"/>
  <c r="X20" i="1"/>
  <c r="X21" i="1"/>
  <c r="X22" i="1"/>
  <c r="X23" i="1"/>
  <c r="X38" i="1"/>
  <c r="X39" i="1"/>
  <c r="X40" i="1"/>
  <c r="X41" i="1"/>
  <c r="X42" i="1"/>
  <c r="X4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44" i="1"/>
  <c r="X45" i="1"/>
  <c r="X46" i="1"/>
  <c r="X47" i="1"/>
  <c r="X48" i="1"/>
  <c r="E4" i="1" l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3" i="1"/>
  <c r="I3" i="1" s="1"/>
  <c r="V4" i="1"/>
  <c r="Z4" i="1"/>
  <c r="V5" i="1"/>
  <c r="Z5" i="1"/>
  <c r="V6" i="1"/>
  <c r="Z6" i="1"/>
  <c r="V7" i="1"/>
  <c r="Z7" i="1"/>
  <c r="V8" i="1"/>
  <c r="Z8" i="1"/>
  <c r="V9" i="1"/>
  <c r="Z9" i="1"/>
  <c r="V10" i="1"/>
  <c r="Z10" i="1"/>
  <c r="V11" i="1"/>
  <c r="Z11" i="1"/>
  <c r="V12" i="1"/>
  <c r="Z12" i="1"/>
  <c r="V13" i="1"/>
  <c r="Z13" i="1"/>
  <c r="V14" i="1"/>
  <c r="Z14" i="1"/>
  <c r="V15" i="1"/>
  <c r="Z15" i="1"/>
  <c r="V16" i="1"/>
  <c r="Z16" i="1"/>
  <c r="V17" i="1"/>
  <c r="Z17" i="1"/>
  <c r="V18" i="1"/>
  <c r="Z18" i="1"/>
  <c r="V19" i="1"/>
  <c r="Z19" i="1"/>
  <c r="V20" i="1"/>
  <c r="Z20" i="1"/>
  <c r="V21" i="1"/>
  <c r="Z21" i="1"/>
  <c r="V22" i="1"/>
  <c r="Z22" i="1"/>
  <c r="V23" i="1"/>
  <c r="Z23" i="1"/>
  <c r="V24" i="1"/>
  <c r="Z24" i="1"/>
  <c r="V25" i="1"/>
  <c r="Z25" i="1"/>
  <c r="V26" i="1"/>
  <c r="Z26" i="1"/>
  <c r="V27" i="1"/>
  <c r="Z27" i="1"/>
  <c r="V28" i="1"/>
  <c r="Z28" i="1"/>
  <c r="V29" i="1"/>
  <c r="Z29" i="1"/>
  <c r="V30" i="1"/>
  <c r="Z30" i="1"/>
  <c r="V31" i="1"/>
  <c r="Z31" i="1"/>
  <c r="V32" i="1"/>
  <c r="Z32" i="1"/>
  <c r="V33" i="1"/>
  <c r="Z33" i="1"/>
  <c r="V34" i="1"/>
  <c r="Z34" i="1"/>
  <c r="V35" i="1"/>
  <c r="Z35" i="1"/>
  <c r="V36" i="1"/>
  <c r="Z36" i="1"/>
  <c r="V37" i="1"/>
  <c r="Z37" i="1"/>
  <c r="V38" i="1"/>
  <c r="Z38" i="1"/>
  <c r="V39" i="1"/>
  <c r="Z39" i="1"/>
  <c r="V40" i="1"/>
  <c r="Z40" i="1"/>
  <c r="V41" i="1"/>
  <c r="Z41" i="1"/>
  <c r="V42" i="1"/>
  <c r="Z42" i="1"/>
  <c r="V43" i="1"/>
  <c r="Z43" i="1"/>
  <c r="V44" i="1"/>
  <c r="Z44" i="1"/>
  <c r="V45" i="1"/>
  <c r="Z45" i="1"/>
  <c r="V46" i="1"/>
  <c r="Z46" i="1"/>
  <c r="V47" i="1"/>
  <c r="Z47" i="1"/>
  <c r="V48" i="1"/>
  <c r="Z48" i="1"/>
  <c r="Z3" i="1"/>
  <c r="V3" i="1"/>
  <c r="AD43" i="1" l="1"/>
  <c r="AD34" i="1"/>
  <c r="AD3" i="1"/>
  <c r="AD27" i="1"/>
  <c r="AD40" i="1"/>
  <c r="AD10" i="1"/>
  <c r="AD48" i="1"/>
  <c r="AD7" i="1"/>
  <c r="AD46" i="1"/>
  <c r="AD26" i="1"/>
  <c r="AD6" i="1"/>
  <c r="AD15" i="1"/>
  <c r="AD33" i="1"/>
  <c r="AD23" i="1"/>
  <c r="AD13" i="1"/>
  <c r="AD22" i="1"/>
  <c r="AD16" i="1"/>
  <c r="AD35" i="1"/>
  <c r="AD36" i="1"/>
  <c r="AD42" i="1"/>
  <c r="AD41" i="1"/>
  <c r="AD21" i="1"/>
  <c r="AD11" i="1"/>
  <c r="AD32" i="1"/>
  <c r="AD31" i="1"/>
  <c r="AD12" i="1"/>
  <c r="AD38" i="1"/>
  <c r="AD37" i="1"/>
  <c r="AD20" i="1"/>
  <c r="AD29" i="1"/>
  <c r="AD9" i="1"/>
  <c r="AD17" i="1"/>
  <c r="AD14" i="1"/>
  <c r="AD19" i="1"/>
  <c r="AD18" i="1"/>
  <c r="AD5" i="1"/>
  <c r="AD30" i="1"/>
  <c r="AD39" i="1"/>
  <c r="AD28" i="1"/>
  <c r="AD8" i="1"/>
  <c r="AD47" i="1"/>
  <c r="AD45" i="1"/>
  <c r="AD25" i="1"/>
  <c r="AD44" i="1"/>
  <c r="AD24" i="1"/>
  <c r="AD4" i="1"/>
</calcChain>
</file>

<file path=xl/sharedStrings.xml><?xml version="1.0" encoding="utf-8"?>
<sst xmlns="http://schemas.openxmlformats.org/spreadsheetml/2006/main" count="514" uniqueCount="16">
  <si>
    <t>转角</t>
    <phoneticPr fontId="1" type="noConversion"/>
  </si>
  <si>
    <t>顶杆</t>
    <phoneticPr fontId="1" type="noConversion"/>
  </si>
  <si>
    <t>线伸出</t>
    <phoneticPr fontId="1" type="noConversion"/>
  </si>
  <si>
    <t>合拢运动</t>
    <phoneticPr fontId="1" type="noConversion"/>
  </si>
  <si>
    <t>角度</t>
    <phoneticPr fontId="1" type="noConversion"/>
  </si>
  <si>
    <t>丝</t>
    <phoneticPr fontId="1" type="noConversion"/>
  </si>
  <si>
    <t>展开运动</t>
    <phoneticPr fontId="1" type="noConversion"/>
  </si>
  <si>
    <t>_OPOrign[</t>
  </si>
  <si>
    <t xml:space="preserve">] = </t>
  </si>
  <si>
    <t>;   _OLOrign[</t>
    <phoneticPr fontId="1" type="noConversion"/>
  </si>
  <si>
    <t>;</t>
    <phoneticPr fontId="1" type="noConversion"/>
  </si>
  <si>
    <t>;   _OLOrign[</t>
    <phoneticPr fontId="1" type="noConversion"/>
  </si>
  <si>
    <t>_SLOrign[</t>
    <phoneticPr fontId="1" type="noConversion"/>
  </si>
  <si>
    <t>;</t>
    <phoneticPr fontId="1" type="noConversion"/>
  </si>
  <si>
    <t>d(</t>
    <phoneticPr fontId="1" type="noConversion"/>
  </si>
  <si>
    <t>)=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</si>
</sst>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51364660792325E-2"/>
          <c:y val="7.415989133858783E-2"/>
          <c:w val="0.90465727808040008"/>
          <c:h val="0.841491227269824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Sheet1!$A$3:$A$50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cat>
          <c:val>
            <c:numRef>
              <c:f>Sheet1!$C$3:$C$50</c:f>
              <c:numCache>
                <c:formatCode>General</c:formatCode>
                <c:ptCount val="48"/>
                <c:pt idx="0">
                  <c:v>39.64</c:v>
                </c:pt>
                <c:pt idx="1">
                  <c:v>38.69</c:v>
                </c:pt>
                <c:pt idx="2">
                  <c:v>37.75</c:v>
                </c:pt>
                <c:pt idx="3">
                  <c:v>36.799999999999997</c:v>
                </c:pt>
                <c:pt idx="4">
                  <c:v>35.83</c:v>
                </c:pt>
                <c:pt idx="5">
                  <c:v>34.85</c:v>
                </c:pt>
                <c:pt idx="6">
                  <c:v>33.86</c:v>
                </c:pt>
                <c:pt idx="7">
                  <c:v>32.86</c:v>
                </c:pt>
                <c:pt idx="8">
                  <c:v>31.85</c:v>
                </c:pt>
                <c:pt idx="9">
                  <c:v>30.84</c:v>
                </c:pt>
                <c:pt idx="10">
                  <c:v>29.83</c:v>
                </c:pt>
                <c:pt idx="11">
                  <c:v>28.82</c:v>
                </c:pt>
                <c:pt idx="12">
                  <c:v>27.81</c:v>
                </c:pt>
                <c:pt idx="13">
                  <c:v>26.81</c:v>
                </c:pt>
                <c:pt idx="14">
                  <c:v>25.81</c:v>
                </c:pt>
                <c:pt idx="15">
                  <c:v>24.82</c:v>
                </c:pt>
                <c:pt idx="16">
                  <c:v>23.84</c:v>
                </c:pt>
                <c:pt idx="17">
                  <c:v>22.87</c:v>
                </c:pt>
                <c:pt idx="18">
                  <c:v>21.91</c:v>
                </c:pt>
                <c:pt idx="19">
                  <c:v>20.96</c:v>
                </c:pt>
                <c:pt idx="20">
                  <c:v>20.02</c:v>
                </c:pt>
                <c:pt idx="21">
                  <c:v>19.100000000000001</c:v>
                </c:pt>
                <c:pt idx="22">
                  <c:v>18.190000000000001</c:v>
                </c:pt>
                <c:pt idx="23">
                  <c:v>17.3</c:v>
                </c:pt>
                <c:pt idx="24">
                  <c:v>16.43</c:v>
                </c:pt>
                <c:pt idx="25">
                  <c:v>15.17</c:v>
                </c:pt>
                <c:pt idx="26">
                  <c:v>14.73</c:v>
                </c:pt>
                <c:pt idx="27">
                  <c:v>13.91</c:v>
                </c:pt>
                <c:pt idx="28">
                  <c:v>13.11</c:v>
                </c:pt>
                <c:pt idx="29">
                  <c:v>12.32</c:v>
                </c:pt>
                <c:pt idx="30">
                  <c:v>11.55</c:v>
                </c:pt>
                <c:pt idx="31">
                  <c:v>10.8</c:v>
                </c:pt>
                <c:pt idx="32">
                  <c:v>10.07</c:v>
                </c:pt>
                <c:pt idx="33">
                  <c:v>9.36</c:v>
                </c:pt>
                <c:pt idx="34">
                  <c:v>8.66</c:v>
                </c:pt>
                <c:pt idx="35">
                  <c:v>7.99</c:v>
                </c:pt>
                <c:pt idx="36">
                  <c:v>7.33</c:v>
                </c:pt>
                <c:pt idx="37">
                  <c:v>6.7</c:v>
                </c:pt>
                <c:pt idx="38">
                  <c:v>6.08</c:v>
                </c:pt>
                <c:pt idx="39">
                  <c:v>5.47</c:v>
                </c:pt>
                <c:pt idx="40">
                  <c:v>4.8899999999999997</c:v>
                </c:pt>
                <c:pt idx="41">
                  <c:v>4.33</c:v>
                </c:pt>
                <c:pt idx="42">
                  <c:v>3.79</c:v>
                </c:pt>
                <c:pt idx="43">
                  <c:v>3.26</c:v>
                </c:pt>
                <c:pt idx="44">
                  <c:v>2.76</c:v>
                </c:pt>
                <c:pt idx="45">
                  <c:v>2.29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923-47B3-BF8F-974686B85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723552"/>
        <c:axId val="-210746400"/>
      </c:lineChart>
      <c:catAx>
        <c:axId val="-2107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0746400"/>
        <c:crosses val="autoZero"/>
        <c:auto val="1"/>
        <c:lblAlgn val="ctr"/>
        <c:lblOffset val="100"/>
        <c:noMultiLvlLbl val="0"/>
      </c:catAx>
      <c:valAx>
        <c:axId val="-2107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072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398738</xdr:colOff>
      <xdr:row>18</xdr:row>
      <xdr:rowOff>135766</xdr:rowOff>
    </xdr:from>
    <xdr:to>
      <xdr:col>37</xdr:col>
      <xdr:colOff>529742</xdr:colOff>
      <xdr:row>33</xdr:row>
      <xdr:rowOff>161166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FADBD3F6-5CBD-4790-870D-3447BC753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P1" zoomScale="115" zoomScaleNormal="115" workbookViewId="0">
      <selection activeCell="AD48" sqref="AD3:AD48"/>
    </sheetView>
  </sheetViews>
  <sheetFormatPr defaultRowHeight="14.25" x14ac:dyDescent="0.2"/>
  <cols>
    <col min="2" max="2" width="7.125" customWidth="1"/>
    <col min="3" max="3" width="7.25" customWidth="1"/>
    <col min="4" max="4" width="8.375" customWidth="1"/>
    <col min="5" max="5" width="2.75" customWidth="1"/>
    <col min="6" max="6" width="3.25" customWidth="1"/>
    <col min="7" max="7" width="5.75" customWidth="1"/>
    <col min="8" max="8" width="2.25" customWidth="1"/>
    <col min="9" max="10" width="16.125" customWidth="1"/>
    <col min="11" max="11" width="2.375" customWidth="1"/>
    <col min="12" max="12" width="3.25" customWidth="1"/>
    <col min="13" max="13" width="2.375" customWidth="1"/>
    <col min="14" max="14" width="9.375" customWidth="1"/>
    <col min="15" max="15" width="2.375" customWidth="1"/>
    <col min="16" max="17" width="16.125" customWidth="1"/>
    <col min="22" max="23" width="2.75" customWidth="1"/>
    <col min="24" max="24" width="4.125" customWidth="1"/>
    <col min="25" max="25" width="11.375" customWidth="1"/>
    <col min="26" max="27" width="2.75" customWidth="1"/>
    <col min="28" max="28" width="6.375" customWidth="1"/>
    <col min="29" max="29" width="1.875" customWidth="1"/>
    <col min="30" max="30" width="39.625" customWidth="1"/>
  </cols>
  <sheetData>
    <row r="1" spans="1:30" x14ac:dyDescent="0.2">
      <c r="A1" s="3" t="s">
        <v>3</v>
      </c>
      <c r="B1" s="3"/>
      <c r="C1" s="3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1"/>
      <c r="Q1" s="2"/>
      <c r="R1" s="3" t="s">
        <v>6</v>
      </c>
      <c r="S1" s="3"/>
      <c r="T1" s="3"/>
    </row>
    <row r="2" spans="1:30" x14ac:dyDescent="0.2">
      <c r="A2" t="s">
        <v>0</v>
      </c>
      <c r="B2" t="s">
        <v>1</v>
      </c>
      <c r="C2" t="s">
        <v>2</v>
      </c>
      <c r="R2" t="s">
        <v>4</v>
      </c>
      <c r="S2" t="s">
        <v>1</v>
      </c>
      <c r="T2" t="s">
        <v>5</v>
      </c>
    </row>
    <row r="3" spans="1:30" x14ac:dyDescent="0.2">
      <c r="A3">
        <v>0</v>
      </c>
      <c r="B3">
        <v>0</v>
      </c>
      <c r="C3">
        <v>39.64</v>
      </c>
      <c r="D3" t="s">
        <v>12</v>
      </c>
      <c r="E3">
        <f>A3</f>
        <v>0</v>
      </c>
      <c r="F3" t="s">
        <v>8</v>
      </c>
      <c r="G3">
        <f>C3</f>
        <v>39.64</v>
      </c>
      <c r="H3" t="s">
        <v>10</v>
      </c>
      <c r="I3" t="str">
        <f>D3&amp;E3&amp;F3&amp;G3&amp;H3</f>
        <v>_SLOrign[0] = 39.64;</v>
      </c>
      <c r="K3" t="s">
        <v>14</v>
      </c>
      <c r="L3">
        <v>0</v>
      </c>
      <c r="M3" t="s">
        <v>15</v>
      </c>
      <c r="N3">
        <v>22.6</v>
      </c>
      <c r="O3" t="s">
        <v>13</v>
      </c>
      <c r="P3" t="str">
        <f>K3&amp;L3&amp;M3&amp;N3&amp;O3</f>
        <v>d(0)=22.6;</v>
      </c>
      <c r="R3">
        <v>0</v>
      </c>
      <c r="S3">
        <v>8.6999999999999993</v>
      </c>
      <c r="T3">
        <v>2.78</v>
      </c>
      <c r="U3" t="s">
        <v>7</v>
      </c>
      <c r="V3">
        <f>R3</f>
        <v>0</v>
      </c>
      <c r="W3" t="s">
        <v>8</v>
      </c>
      <c r="X3">
        <f>S3</f>
        <v>8.6999999999999993</v>
      </c>
      <c r="Y3" t="s">
        <v>11</v>
      </c>
      <c r="Z3">
        <f>R3</f>
        <v>0</v>
      </c>
      <c r="AA3" t="s">
        <v>8</v>
      </c>
      <c r="AB3">
        <f>T3</f>
        <v>2.78</v>
      </c>
      <c r="AC3" t="s">
        <v>10</v>
      </c>
      <c r="AD3" t="str">
        <f>U3&amp;V3&amp;W3&amp;X3&amp;Y3&amp;Z3&amp;AA3&amp;AB3&amp;AC3</f>
        <v>_OPOrign[0] = 8.7;   _OLOrign[0] = 2.78;</v>
      </c>
    </row>
    <row r="4" spans="1:30" x14ac:dyDescent="0.2">
      <c r="A4">
        <v>1</v>
      </c>
      <c r="B4">
        <v>0</v>
      </c>
      <c r="C4">
        <v>38.69</v>
      </c>
      <c r="D4" t="s">
        <v>12</v>
      </c>
      <c r="E4">
        <f>A4</f>
        <v>1</v>
      </c>
      <c r="F4" t="s">
        <v>8</v>
      </c>
      <c r="G4">
        <f t="shared" ref="G4:G48" si="0">C4</f>
        <v>38.69</v>
      </c>
      <c r="H4" t="s">
        <v>10</v>
      </c>
      <c r="I4" t="str">
        <f t="shared" ref="I4:I47" si="1">D4&amp;E4&amp;F4&amp;G4&amp;H4</f>
        <v>_SLOrign[1] = 38.69;</v>
      </c>
      <c r="K4" t="s">
        <v>14</v>
      </c>
      <c r="L4">
        <v>1</v>
      </c>
      <c r="M4" t="s">
        <v>15</v>
      </c>
      <c r="N4">
        <v>23.03</v>
      </c>
      <c r="O4" t="s">
        <v>13</v>
      </c>
      <c r="P4" t="str">
        <f>K4&amp;L4&amp;M4&amp;N4&amp;O4</f>
        <v>d(1)=23.03;</v>
      </c>
      <c r="R4">
        <v>1</v>
      </c>
      <c r="S4">
        <v>8.1</v>
      </c>
      <c r="T4">
        <v>3.59</v>
      </c>
      <c r="U4" t="s">
        <v>7</v>
      </c>
      <c r="V4">
        <f>R4</f>
        <v>1</v>
      </c>
      <c r="W4" t="s">
        <v>8</v>
      </c>
      <c r="X4">
        <f>S4</f>
        <v>8.1</v>
      </c>
      <c r="Y4" t="s">
        <v>9</v>
      </c>
      <c r="Z4">
        <f>R4</f>
        <v>1</v>
      </c>
      <c r="AA4" t="s">
        <v>8</v>
      </c>
      <c r="AB4">
        <f t="shared" ref="AB4:AB48" si="2">T4</f>
        <v>3.59</v>
      </c>
      <c r="AC4" t="s">
        <v>10</v>
      </c>
      <c r="AD4" t="str">
        <f t="shared" ref="AD4:AD48" si="3">U4&amp;V4&amp;W4&amp;X4&amp;Y4&amp;Z4&amp;AA4&amp;AB4&amp;AC4</f>
        <v>_OPOrign[1] = 8.1;   _OLOrign[1] = 3.59;</v>
      </c>
    </row>
    <row r="5" spans="1:30" x14ac:dyDescent="0.2">
      <c r="A5">
        <v>2</v>
      </c>
      <c r="B5">
        <v>0</v>
      </c>
      <c r="C5">
        <v>37.75</v>
      </c>
      <c r="D5" t="s">
        <v>12</v>
      </c>
      <c r="E5">
        <f>A5</f>
        <v>2</v>
      </c>
      <c r="F5" t="s">
        <v>8</v>
      </c>
      <c r="G5">
        <f t="shared" si="0"/>
        <v>37.75</v>
      </c>
      <c r="H5" t="s">
        <v>10</v>
      </c>
      <c r="I5" t="str">
        <f t="shared" si="1"/>
        <v>_SLOrign[2] = 37.75;</v>
      </c>
      <c r="K5" t="s">
        <v>14</v>
      </c>
      <c r="L5">
        <v>2</v>
      </c>
      <c r="M5" t="s">
        <v>15</v>
      </c>
      <c r="N5">
        <v>23.43</v>
      </c>
      <c r="O5" t="s">
        <v>13</v>
      </c>
      <c r="P5" t="str">
        <f t="shared" ref="P5:P48" si="4">K5&amp;L5&amp;M5&amp;N5&amp;O5</f>
        <v>d(2)=23.43;</v>
      </c>
      <c r="R5">
        <v>2</v>
      </c>
      <c r="S5">
        <v>7.59</v>
      </c>
      <c r="T5">
        <v>4.43</v>
      </c>
      <c r="U5" t="s">
        <v>7</v>
      </c>
      <c r="V5">
        <f>R5</f>
        <v>2</v>
      </c>
      <c r="W5" t="s">
        <v>8</v>
      </c>
      <c r="X5">
        <f>S5</f>
        <v>7.59</v>
      </c>
      <c r="Y5" t="s">
        <v>9</v>
      </c>
      <c r="Z5">
        <f>R5</f>
        <v>2</v>
      </c>
      <c r="AA5" t="s">
        <v>8</v>
      </c>
      <c r="AB5">
        <f t="shared" si="2"/>
        <v>4.43</v>
      </c>
      <c r="AC5" t="s">
        <v>10</v>
      </c>
      <c r="AD5" t="str">
        <f t="shared" si="3"/>
        <v>_OPOrign[2] = 7.59;   _OLOrign[2] = 4.43;</v>
      </c>
    </row>
    <row r="6" spans="1:30" x14ac:dyDescent="0.2">
      <c r="A6">
        <v>3</v>
      </c>
      <c r="B6">
        <v>0</v>
      </c>
      <c r="C6">
        <v>36.799999999999997</v>
      </c>
      <c r="D6" t="s">
        <v>12</v>
      </c>
      <c r="E6">
        <f>A6</f>
        <v>3</v>
      </c>
      <c r="F6" t="s">
        <v>8</v>
      </c>
      <c r="G6">
        <f t="shared" si="0"/>
        <v>36.799999999999997</v>
      </c>
      <c r="H6" t="s">
        <v>10</v>
      </c>
      <c r="I6" t="str">
        <f t="shared" si="1"/>
        <v>_SLOrign[3] = 36.8;</v>
      </c>
      <c r="K6" t="s">
        <v>14</v>
      </c>
      <c r="L6">
        <v>3</v>
      </c>
      <c r="M6" t="s">
        <v>15</v>
      </c>
      <c r="N6">
        <v>23.8</v>
      </c>
      <c r="O6" t="s">
        <v>13</v>
      </c>
      <c r="P6" t="str">
        <f t="shared" si="4"/>
        <v>d(3)=23.8;</v>
      </c>
      <c r="R6">
        <v>3</v>
      </c>
      <c r="S6">
        <v>7.15</v>
      </c>
      <c r="T6">
        <v>5.3</v>
      </c>
      <c r="U6" t="s">
        <v>7</v>
      </c>
      <c r="V6">
        <f>R6</f>
        <v>3</v>
      </c>
      <c r="W6" t="s">
        <v>8</v>
      </c>
      <c r="X6">
        <f>S6</f>
        <v>7.15</v>
      </c>
      <c r="Y6" t="s">
        <v>9</v>
      </c>
      <c r="Z6">
        <f>R6</f>
        <v>3</v>
      </c>
      <c r="AA6" t="s">
        <v>8</v>
      </c>
      <c r="AB6">
        <f t="shared" si="2"/>
        <v>5.3</v>
      </c>
      <c r="AC6" t="s">
        <v>10</v>
      </c>
      <c r="AD6" t="str">
        <f t="shared" si="3"/>
        <v>_OPOrign[3] = 7.15;   _OLOrign[3] = 5.3;</v>
      </c>
    </row>
    <row r="7" spans="1:30" x14ac:dyDescent="0.2">
      <c r="A7">
        <v>4</v>
      </c>
      <c r="B7">
        <v>0</v>
      </c>
      <c r="C7">
        <v>35.83</v>
      </c>
      <c r="D7" t="s">
        <v>12</v>
      </c>
      <c r="E7">
        <f>A7</f>
        <v>4</v>
      </c>
      <c r="F7" t="s">
        <v>8</v>
      </c>
      <c r="G7">
        <f t="shared" si="0"/>
        <v>35.83</v>
      </c>
      <c r="H7" t="s">
        <v>10</v>
      </c>
      <c r="I7" t="str">
        <f t="shared" si="1"/>
        <v>_SLOrign[4] = 35.83;</v>
      </c>
      <c r="K7" t="s">
        <v>14</v>
      </c>
      <c r="L7">
        <v>4</v>
      </c>
      <c r="M7" t="s">
        <v>15</v>
      </c>
      <c r="N7">
        <v>24.15</v>
      </c>
      <c r="O7" t="s">
        <v>13</v>
      </c>
      <c r="P7" t="str">
        <f t="shared" si="4"/>
        <v>d(4)=24.15;</v>
      </c>
      <c r="R7">
        <v>4</v>
      </c>
      <c r="S7">
        <v>6.76</v>
      </c>
      <c r="T7">
        <v>6.18</v>
      </c>
      <c r="U7" t="s">
        <v>7</v>
      </c>
      <c r="V7">
        <f>R7</f>
        <v>4</v>
      </c>
      <c r="W7" t="s">
        <v>8</v>
      </c>
      <c r="X7">
        <f>S7</f>
        <v>6.76</v>
      </c>
      <c r="Y7" t="s">
        <v>9</v>
      </c>
      <c r="Z7">
        <f>R7</f>
        <v>4</v>
      </c>
      <c r="AA7" t="s">
        <v>8</v>
      </c>
      <c r="AB7">
        <f t="shared" si="2"/>
        <v>6.18</v>
      </c>
      <c r="AC7" t="s">
        <v>10</v>
      </c>
      <c r="AD7" t="str">
        <f t="shared" si="3"/>
        <v>_OPOrign[4] = 6.76;   _OLOrign[4] = 6.18;</v>
      </c>
    </row>
    <row r="8" spans="1:30" x14ac:dyDescent="0.2">
      <c r="A8">
        <v>5</v>
      </c>
      <c r="B8">
        <v>0</v>
      </c>
      <c r="C8">
        <v>34.85</v>
      </c>
      <c r="D8" t="s">
        <v>12</v>
      </c>
      <c r="E8">
        <f>A8</f>
        <v>5</v>
      </c>
      <c r="F8" t="s">
        <v>8</v>
      </c>
      <c r="G8">
        <f t="shared" si="0"/>
        <v>34.85</v>
      </c>
      <c r="H8" t="s">
        <v>10</v>
      </c>
      <c r="I8" t="str">
        <f t="shared" si="1"/>
        <v>_SLOrign[5] = 34.85;</v>
      </c>
      <c r="K8" t="s">
        <v>14</v>
      </c>
      <c r="L8">
        <v>5</v>
      </c>
      <c r="M8" t="s">
        <v>15</v>
      </c>
      <c r="N8">
        <v>24.48</v>
      </c>
      <c r="O8" t="s">
        <v>13</v>
      </c>
      <c r="P8" t="str">
        <f t="shared" si="4"/>
        <v>d(5)=24.48;</v>
      </c>
      <c r="R8">
        <v>5</v>
      </c>
      <c r="S8">
        <v>6.41</v>
      </c>
      <c r="T8">
        <v>7.06</v>
      </c>
      <c r="U8" t="s">
        <v>7</v>
      </c>
      <c r="V8">
        <f>R8</f>
        <v>5</v>
      </c>
      <c r="W8" t="s">
        <v>8</v>
      </c>
      <c r="X8">
        <f>S8</f>
        <v>6.41</v>
      </c>
      <c r="Y8" t="s">
        <v>9</v>
      </c>
      <c r="Z8">
        <f>R8</f>
        <v>5</v>
      </c>
      <c r="AA8" t="s">
        <v>8</v>
      </c>
      <c r="AB8">
        <f t="shared" si="2"/>
        <v>7.06</v>
      </c>
      <c r="AC8" t="s">
        <v>10</v>
      </c>
      <c r="AD8" t="str">
        <f t="shared" si="3"/>
        <v>_OPOrign[5] = 6.41;   _OLOrign[5] = 7.06;</v>
      </c>
    </row>
    <row r="9" spans="1:30" x14ac:dyDescent="0.2">
      <c r="A9">
        <v>6</v>
      </c>
      <c r="B9">
        <v>0</v>
      </c>
      <c r="C9">
        <v>33.86</v>
      </c>
      <c r="D9" t="s">
        <v>12</v>
      </c>
      <c r="E9">
        <f>A9</f>
        <v>6</v>
      </c>
      <c r="F9" t="s">
        <v>8</v>
      </c>
      <c r="G9">
        <f t="shared" si="0"/>
        <v>33.86</v>
      </c>
      <c r="H9" t="s">
        <v>10</v>
      </c>
      <c r="I9" t="str">
        <f t="shared" si="1"/>
        <v>_SLOrign[6] = 33.86;</v>
      </c>
      <c r="K9" t="s">
        <v>14</v>
      </c>
      <c r="L9">
        <v>6</v>
      </c>
      <c r="M9" t="s">
        <v>15</v>
      </c>
      <c r="N9">
        <v>24.78</v>
      </c>
      <c r="O9" t="s">
        <v>13</v>
      </c>
      <c r="P9" t="str">
        <f t="shared" si="4"/>
        <v>d(6)=24.78;</v>
      </c>
      <c r="R9">
        <v>6</v>
      </c>
      <c r="S9">
        <v>6.11</v>
      </c>
      <c r="T9">
        <v>7.95</v>
      </c>
      <c r="U9" t="s">
        <v>7</v>
      </c>
      <c r="V9">
        <f>R9</f>
        <v>6</v>
      </c>
      <c r="W9" t="s">
        <v>8</v>
      </c>
      <c r="X9">
        <f>S9</f>
        <v>6.11</v>
      </c>
      <c r="Y9" t="s">
        <v>9</v>
      </c>
      <c r="Z9">
        <f>R9</f>
        <v>6</v>
      </c>
      <c r="AA9" t="s">
        <v>8</v>
      </c>
      <c r="AB9">
        <f t="shared" si="2"/>
        <v>7.95</v>
      </c>
      <c r="AC9" t="s">
        <v>10</v>
      </c>
      <c r="AD9" t="str">
        <f t="shared" si="3"/>
        <v>_OPOrign[6] = 6.11;   _OLOrign[6] = 7.95;</v>
      </c>
    </row>
    <row r="10" spans="1:30" x14ac:dyDescent="0.2">
      <c r="A10">
        <v>7</v>
      </c>
      <c r="B10">
        <v>0</v>
      </c>
      <c r="C10">
        <v>32.86</v>
      </c>
      <c r="D10" t="s">
        <v>12</v>
      </c>
      <c r="E10">
        <f>A10</f>
        <v>7</v>
      </c>
      <c r="F10" t="s">
        <v>8</v>
      </c>
      <c r="G10">
        <f t="shared" si="0"/>
        <v>32.86</v>
      </c>
      <c r="H10" t="s">
        <v>10</v>
      </c>
      <c r="I10" t="str">
        <f t="shared" si="1"/>
        <v>_SLOrign[7] = 32.86;</v>
      </c>
      <c r="K10" t="s">
        <v>14</v>
      </c>
      <c r="L10">
        <v>7</v>
      </c>
      <c r="M10" t="s">
        <v>15</v>
      </c>
      <c r="N10">
        <v>25.06</v>
      </c>
      <c r="O10" t="s">
        <v>13</v>
      </c>
      <c r="P10" t="str">
        <f t="shared" si="4"/>
        <v>d(7)=25.06;</v>
      </c>
      <c r="R10">
        <v>7</v>
      </c>
      <c r="S10">
        <v>5.84</v>
      </c>
      <c r="T10">
        <v>8.84</v>
      </c>
      <c r="U10" t="s">
        <v>7</v>
      </c>
      <c r="V10">
        <f>R10</f>
        <v>7</v>
      </c>
      <c r="W10" t="s">
        <v>8</v>
      </c>
      <c r="X10">
        <f>S10</f>
        <v>5.84</v>
      </c>
      <c r="Y10" t="s">
        <v>9</v>
      </c>
      <c r="Z10">
        <f>R10</f>
        <v>7</v>
      </c>
      <c r="AA10" t="s">
        <v>8</v>
      </c>
      <c r="AB10">
        <f t="shared" si="2"/>
        <v>8.84</v>
      </c>
      <c r="AC10" t="s">
        <v>10</v>
      </c>
      <c r="AD10" t="str">
        <f t="shared" si="3"/>
        <v>_OPOrign[7] = 5.84;   _OLOrign[7] = 8.84;</v>
      </c>
    </row>
    <row r="11" spans="1:30" x14ac:dyDescent="0.2">
      <c r="A11">
        <v>8</v>
      </c>
      <c r="B11">
        <v>0</v>
      </c>
      <c r="C11">
        <v>31.85</v>
      </c>
      <c r="D11" t="s">
        <v>12</v>
      </c>
      <c r="E11">
        <f>A11</f>
        <v>8</v>
      </c>
      <c r="F11" t="s">
        <v>8</v>
      </c>
      <c r="G11">
        <f t="shared" si="0"/>
        <v>31.85</v>
      </c>
      <c r="H11" t="s">
        <v>10</v>
      </c>
      <c r="I11" t="str">
        <f t="shared" si="1"/>
        <v>_SLOrign[8] = 31.85;</v>
      </c>
      <c r="K11" t="s">
        <v>14</v>
      </c>
      <c r="L11">
        <v>8</v>
      </c>
      <c r="M11" t="s">
        <v>15</v>
      </c>
      <c r="N11">
        <v>25.32</v>
      </c>
      <c r="O11" t="s">
        <v>13</v>
      </c>
      <c r="P11" t="str">
        <f t="shared" si="4"/>
        <v>d(8)=25.32;</v>
      </c>
      <c r="R11">
        <v>8</v>
      </c>
      <c r="S11">
        <v>5.59</v>
      </c>
      <c r="T11">
        <v>9.74</v>
      </c>
      <c r="U11" t="s">
        <v>7</v>
      </c>
      <c r="V11">
        <f>R11</f>
        <v>8</v>
      </c>
      <c r="W11" t="s">
        <v>8</v>
      </c>
      <c r="X11">
        <f>S11</f>
        <v>5.59</v>
      </c>
      <c r="Y11" t="s">
        <v>9</v>
      </c>
      <c r="Z11">
        <f>R11</f>
        <v>8</v>
      </c>
      <c r="AA11" t="s">
        <v>8</v>
      </c>
      <c r="AB11">
        <f t="shared" si="2"/>
        <v>9.74</v>
      </c>
      <c r="AC11" t="s">
        <v>10</v>
      </c>
      <c r="AD11" t="str">
        <f t="shared" si="3"/>
        <v>_OPOrign[8] = 5.59;   _OLOrign[8] = 9.74;</v>
      </c>
    </row>
    <row r="12" spans="1:30" x14ac:dyDescent="0.2">
      <c r="A12">
        <v>9</v>
      </c>
      <c r="B12">
        <v>0</v>
      </c>
      <c r="C12">
        <v>30.84</v>
      </c>
      <c r="D12" t="s">
        <v>12</v>
      </c>
      <c r="E12">
        <f>A12</f>
        <v>9</v>
      </c>
      <c r="F12" t="s">
        <v>8</v>
      </c>
      <c r="G12">
        <f t="shared" si="0"/>
        <v>30.84</v>
      </c>
      <c r="H12" t="s">
        <v>10</v>
      </c>
      <c r="I12" t="str">
        <f t="shared" si="1"/>
        <v>_SLOrign[9] = 30.84;</v>
      </c>
      <c r="K12" t="s">
        <v>14</v>
      </c>
      <c r="L12">
        <v>9</v>
      </c>
      <c r="M12" t="s">
        <v>15</v>
      </c>
      <c r="N12">
        <v>25.55</v>
      </c>
      <c r="O12" t="s">
        <v>13</v>
      </c>
      <c r="P12" t="str">
        <f t="shared" si="4"/>
        <v>d(9)=25.55;</v>
      </c>
      <c r="R12">
        <v>9</v>
      </c>
      <c r="S12">
        <v>5.37</v>
      </c>
      <c r="T12">
        <v>10.63</v>
      </c>
      <c r="U12" t="s">
        <v>7</v>
      </c>
      <c r="V12">
        <f>R12</f>
        <v>9</v>
      </c>
      <c r="W12" t="s">
        <v>8</v>
      </c>
      <c r="X12">
        <f>S12</f>
        <v>5.37</v>
      </c>
      <c r="Y12" t="s">
        <v>9</v>
      </c>
      <c r="Z12">
        <f>R12</f>
        <v>9</v>
      </c>
      <c r="AA12" t="s">
        <v>8</v>
      </c>
      <c r="AB12">
        <f t="shared" si="2"/>
        <v>10.63</v>
      </c>
      <c r="AC12" t="s">
        <v>10</v>
      </c>
      <c r="AD12" t="str">
        <f t="shared" si="3"/>
        <v>_OPOrign[9] = 5.37;   _OLOrign[9] = 10.63;</v>
      </c>
    </row>
    <row r="13" spans="1:30" x14ac:dyDescent="0.2">
      <c r="A13">
        <v>10</v>
      </c>
      <c r="B13">
        <v>0</v>
      </c>
      <c r="C13">
        <v>29.83</v>
      </c>
      <c r="D13" t="s">
        <v>12</v>
      </c>
      <c r="E13">
        <f>A13</f>
        <v>10</v>
      </c>
      <c r="F13" t="s">
        <v>8</v>
      </c>
      <c r="G13">
        <f t="shared" si="0"/>
        <v>29.83</v>
      </c>
      <c r="H13" t="s">
        <v>10</v>
      </c>
      <c r="I13" t="str">
        <f t="shared" si="1"/>
        <v>_SLOrign[10] = 29.83;</v>
      </c>
      <c r="K13" t="s">
        <v>14</v>
      </c>
      <c r="L13">
        <v>10</v>
      </c>
      <c r="M13" t="s">
        <v>15</v>
      </c>
      <c r="N13">
        <v>25.76</v>
      </c>
      <c r="O13" t="s">
        <v>13</v>
      </c>
      <c r="P13" t="str">
        <f t="shared" si="4"/>
        <v>d(10)=25.76;</v>
      </c>
      <c r="R13">
        <v>10</v>
      </c>
      <c r="S13">
        <v>5.16</v>
      </c>
      <c r="T13">
        <v>11.52</v>
      </c>
      <c r="U13" t="s">
        <v>7</v>
      </c>
      <c r="V13">
        <f>R13</f>
        <v>10</v>
      </c>
      <c r="W13" t="s">
        <v>8</v>
      </c>
      <c r="X13">
        <f>S13</f>
        <v>5.16</v>
      </c>
      <c r="Y13" t="s">
        <v>9</v>
      </c>
      <c r="Z13">
        <f>R13</f>
        <v>10</v>
      </c>
      <c r="AA13" t="s">
        <v>8</v>
      </c>
      <c r="AB13">
        <f t="shared" si="2"/>
        <v>11.52</v>
      </c>
      <c r="AC13" t="s">
        <v>10</v>
      </c>
      <c r="AD13" t="str">
        <f t="shared" si="3"/>
        <v>_OPOrign[10] = 5.16;   _OLOrign[10] = 11.52;</v>
      </c>
    </row>
    <row r="14" spans="1:30" x14ac:dyDescent="0.2">
      <c r="A14">
        <v>11</v>
      </c>
      <c r="B14">
        <v>0</v>
      </c>
      <c r="C14">
        <v>28.82</v>
      </c>
      <c r="D14" t="s">
        <v>12</v>
      </c>
      <c r="E14">
        <f>A14</f>
        <v>11</v>
      </c>
      <c r="F14" t="s">
        <v>8</v>
      </c>
      <c r="G14">
        <f t="shared" si="0"/>
        <v>28.82</v>
      </c>
      <c r="H14" t="s">
        <v>10</v>
      </c>
      <c r="I14" t="str">
        <f t="shared" si="1"/>
        <v>_SLOrign[11] = 28.82;</v>
      </c>
      <c r="K14" t="s">
        <v>14</v>
      </c>
      <c r="L14">
        <v>11</v>
      </c>
      <c r="M14" t="s">
        <v>15</v>
      </c>
      <c r="N14">
        <v>25.95</v>
      </c>
      <c r="O14" t="s">
        <v>13</v>
      </c>
      <c r="P14" t="str">
        <f t="shared" si="4"/>
        <v>d(11)=25.95;</v>
      </c>
      <c r="R14">
        <v>11</v>
      </c>
      <c r="S14">
        <v>4.9800000000000004</v>
      </c>
      <c r="T14">
        <v>12.41</v>
      </c>
      <c r="U14" t="s">
        <v>7</v>
      </c>
      <c r="V14">
        <f>R14</f>
        <v>11</v>
      </c>
      <c r="W14" t="s">
        <v>8</v>
      </c>
      <c r="X14">
        <f>S14</f>
        <v>4.9800000000000004</v>
      </c>
      <c r="Y14" t="s">
        <v>9</v>
      </c>
      <c r="Z14">
        <f>R14</f>
        <v>11</v>
      </c>
      <c r="AA14" t="s">
        <v>8</v>
      </c>
      <c r="AB14">
        <f t="shared" si="2"/>
        <v>12.41</v>
      </c>
      <c r="AC14" t="s">
        <v>10</v>
      </c>
      <c r="AD14" t="str">
        <f t="shared" si="3"/>
        <v>_OPOrign[11] = 4.98;   _OLOrign[11] = 12.41;</v>
      </c>
    </row>
    <row r="15" spans="1:30" x14ac:dyDescent="0.2">
      <c r="A15">
        <v>12</v>
      </c>
      <c r="B15">
        <v>0</v>
      </c>
      <c r="C15">
        <v>27.81</v>
      </c>
      <c r="D15" t="s">
        <v>12</v>
      </c>
      <c r="E15">
        <f>A15</f>
        <v>12</v>
      </c>
      <c r="F15" t="s">
        <v>8</v>
      </c>
      <c r="G15">
        <f t="shared" si="0"/>
        <v>27.81</v>
      </c>
      <c r="H15" t="s">
        <v>10</v>
      </c>
      <c r="I15" t="str">
        <f t="shared" si="1"/>
        <v>_SLOrign[12] = 27.81;</v>
      </c>
      <c r="K15" t="s">
        <v>14</v>
      </c>
      <c r="L15">
        <v>12</v>
      </c>
      <c r="M15" t="s">
        <v>15</v>
      </c>
      <c r="N15">
        <v>26.12</v>
      </c>
      <c r="O15" t="s">
        <v>13</v>
      </c>
      <c r="P15" t="str">
        <f t="shared" si="4"/>
        <v>d(12)=26.12;</v>
      </c>
      <c r="R15">
        <v>12</v>
      </c>
      <c r="S15">
        <v>4.8099999999999996</v>
      </c>
      <c r="T15">
        <v>13.3</v>
      </c>
      <c r="U15" t="s">
        <v>7</v>
      </c>
      <c r="V15">
        <f>R15</f>
        <v>12</v>
      </c>
      <c r="W15" t="s">
        <v>8</v>
      </c>
      <c r="X15">
        <f>S15</f>
        <v>4.8099999999999996</v>
      </c>
      <c r="Y15" t="s">
        <v>9</v>
      </c>
      <c r="Z15">
        <f>R15</f>
        <v>12</v>
      </c>
      <c r="AA15" t="s">
        <v>8</v>
      </c>
      <c r="AB15">
        <f t="shared" si="2"/>
        <v>13.3</v>
      </c>
      <c r="AC15" t="s">
        <v>10</v>
      </c>
      <c r="AD15" t="str">
        <f t="shared" si="3"/>
        <v>_OPOrign[12] = 4.81;   _OLOrign[12] = 13.3;</v>
      </c>
    </row>
    <row r="16" spans="1:30" x14ac:dyDescent="0.2">
      <c r="A16">
        <v>13</v>
      </c>
      <c r="B16">
        <v>0</v>
      </c>
      <c r="C16">
        <v>26.81</v>
      </c>
      <c r="D16" t="s">
        <v>12</v>
      </c>
      <c r="E16">
        <f>A16</f>
        <v>13</v>
      </c>
      <c r="F16" t="s">
        <v>8</v>
      </c>
      <c r="G16">
        <f t="shared" si="0"/>
        <v>26.81</v>
      </c>
      <c r="H16" t="s">
        <v>10</v>
      </c>
      <c r="I16" t="str">
        <f t="shared" si="1"/>
        <v>_SLOrign[13] = 26.81;</v>
      </c>
      <c r="K16" t="s">
        <v>14</v>
      </c>
      <c r="L16">
        <v>13</v>
      </c>
      <c r="M16" t="s">
        <v>15</v>
      </c>
      <c r="N16">
        <v>26.26</v>
      </c>
      <c r="O16" t="s">
        <v>13</v>
      </c>
      <c r="P16" t="str">
        <f t="shared" si="4"/>
        <v>d(13)=26.26;</v>
      </c>
      <c r="R16">
        <v>13</v>
      </c>
      <c r="S16">
        <v>4.6500000000000004</v>
      </c>
      <c r="T16">
        <v>14.18</v>
      </c>
      <c r="U16" t="s">
        <v>7</v>
      </c>
      <c r="V16">
        <f>R16</f>
        <v>13</v>
      </c>
      <c r="W16" t="s">
        <v>8</v>
      </c>
      <c r="X16">
        <f>S16</f>
        <v>4.6500000000000004</v>
      </c>
      <c r="Y16" t="s">
        <v>9</v>
      </c>
      <c r="Z16">
        <f>R16</f>
        <v>13</v>
      </c>
      <c r="AA16" t="s">
        <v>8</v>
      </c>
      <c r="AB16">
        <f t="shared" si="2"/>
        <v>14.18</v>
      </c>
      <c r="AC16" t="s">
        <v>10</v>
      </c>
      <c r="AD16" t="str">
        <f t="shared" si="3"/>
        <v>_OPOrign[13] = 4.65;   _OLOrign[13] = 14.18;</v>
      </c>
    </row>
    <row r="17" spans="1:30" x14ac:dyDescent="0.2">
      <c r="A17">
        <v>14</v>
      </c>
      <c r="B17">
        <v>0</v>
      </c>
      <c r="C17">
        <v>25.81</v>
      </c>
      <c r="D17" t="s">
        <v>12</v>
      </c>
      <c r="E17">
        <f>A17</f>
        <v>14</v>
      </c>
      <c r="F17" t="s">
        <v>8</v>
      </c>
      <c r="G17">
        <f t="shared" si="0"/>
        <v>25.81</v>
      </c>
      <c r="H17" t="s">
        <v>10</v>
      </c>
      <c r="I17" t="str">
        <f t="shared" si="1"/>
        <v>_SLOrign[14] = 25.81;</v>
      </c>
      <c r="K17" t="s">
        <v>14</v>
      </c>
      <c r="L17">
        <v>14</v>
      </c>
      <c r="M17" t="s">
        <v>15</v>
      </c>
      <c r="N17">
        <v>26.39</v>
      </c>
      <c r="O17" t="s">
        <v>13</v>
      </c>
      <c r="P17" t="str">
        <f t="shared" si="4"/>
        <v>d(14)=26.39;</v>
      </c>
      <c r="R17">
        <v>14</v>
      </c>
      <c r="S17">
        <v>4.5</v>
      </c>
      <c r="T17">
        <v>15.07</v>
      </c>
      <c r="U17" t="s">
        <v>7</v>
      </c>
      <c r="V17">
        <f>R17</f>
        <v>14</v>
      </c>
      <c r="W17" t="s">
        <v>8</v>
      </c>
      <c r="X17">
        <f>S17</f>
        <v>4.5</v>
      </c>
      <c r="Y17" t="s">
        <v>9</v>
      </c>
      <c r="Z17">
        <f>R17</f>
        <v>14</v>
      </c>
      <c r="AA17" t="s">
        <v>8</v>
      </c>
      <c r="AB17">
        <f t="shared" si="2"/>
        <v>15.07</v>
      </c>
      <c r="AC17" t="s">
        <v>10</v>
      </c>
      <c r="AD17" t="str">
        <f t="shared" si="3"/>
        <v>_OPOrign[14] = 4.5;   _OLOrign[14] = 15.07;</v>
      </c>
    </row>
    <row r="18" spans="1:30" x14ac:dyDescent="0.2">
      <c r="A18">
        <v>15</v>
      </c>
      <c r="B18">
        <v>0</v>
      </c>
      <c r="C18">
        <v>24.82</v>
      </c>
      <c r="D18" t="s">
        <v>12</v>
      </c>
      <c r="E18">
        <f>A18</f>
        <v>15</v>
      </c>
      <c r="F18" t="s">
        <v>8</v>
      </c>
      <c r="G18">
        <f t="shared" si="0"/>
        <v>24.82</v>
      </c>
      <c r="H18" t="s">
        <v>10</v>
      </c>
      <c r="I18" t="str">
        <f t="shared" si="1"/>
        <v>_SLOrign[15] = 24.82;</v>
      </c>
      <c r="K18" t="s">
        <v>14</v>
      </c>
      <c r="L18">
        <v>15</v>
      </c>
      <c r="M18" t="s">
        <v>15</v>
      </c>
      <c r="N18">
        <v>26.49</v>
      </c>
      <c r="O18" t="s">
        <v>13</v>
      </c>
      <c r="P18" t="str">
        <f t="shared" si="4"/>
        <v>d(15)=26.49;</v>
      </c>
      <c r="R18">
        <v>15</v>
      </c>
      <c r="S18">
        <v>4.37</v>
      </c>
      <c r="T18">
        <v>15.95</v>
      </c>
      <c r="U18" t="s">
        <v>7</v>
      </c>
      <c r="V18">
        <f>R18</f>
        <v>15</v>
      </c>
      <c r="W18" t="s">
        <v>8</v>
      </c>
      <c r="X18">
        <f>S18</f>
        <v>4.37</v>
      </c>
      <c r="Y18" t="s">
        <v>9</v>
      </c>
      <c r="Z18">
        <f>R18</f>
        <v>15</v>
      </c>
      <c r="AA18" t="s">
        <v>8</v>
      </c>
      <c r="AB18">
        <f t="shared" si="2"/>
        <v>15.95</v>
      </c>
      <c r="AC18" t="s">
        <v>10</v>
      </c>
      <c r="AD18" t="str">
        <f t="shared" si="3"/>
        <v>_OPOrign[15] = 4.37;   _OLOrign[15] = 15.95;</v>
      </c>
    </row>
    <row r="19" spans="1:30" x14ac:dyDescent="0.2">
      <c r="A19">
        <v>16</v>
      </c>
      <c r="B19">
        <v>0</v>
      </c>
      <c r="C19">
        <v>23.84</v>
      </c>
      <c r="D19" t="s">
        <v>12</v>
      </c>
      <c r="E19">
        <f>A19</f>
        <v>16</v>
      </c>
      <c r="F19" t="s">
        <v>8</v>
      </c>
      <c r="G19">
        <f t="shared" si="0"/>
        <v>23.84</v>
      </c>
      <c r="H19" t="s">
        <v>10</v>
      </c>
      <c r="I19" t="str">
        <f t="shared" si="1"/>
        <v>_SLOrign[16] = 23.84;</v>
      </c>
      <c r="K19" t="s">
        <v>14</v>
      </c>
      <c r="L19">
        <v>16</v>
      </c>
      <c r="M19" t="s">
        <v>15</v>
      </c>
      <c r="N19">
        <v>26.58</v>
      </c>
      <c r="O19" t="s">
        <v>13</v>
      </c>
      <c r="P19" t="str">
        <f t="shared" si="4"/>
        <v>d(16)=26.58;</v>
      </c>
      <c r="R19">
        <v>16</v>
      </c>
      <c r="S19">
        <v>4.24</v>
      </c>
      <c r="T19">
        <v>16.829999999999998</v>
      </c>
      <c r="U19" t="s">
        <v>7</v>
      </c>
      <c r="V19">
        <f>R19</f>
        <v>16</v>
      </c>
      <c r="W19" t="s">
        <v>8</v>
      </c>
      <c r="X19">
        <f>S19</f>
        <v>4.24</v>
      </c>
      <c r="Y19" t="s">
        <v>9</v>
      </c>
      <c r="Z19">
        <f>R19</f>
        <v>16</v>
      </c>
      <c r="AA19" t="s">
        <v>8</v>
      </c>
      <c r="AB19">
        <f t="shared" si="2"/>
        <v>16.829999999999998</v>
      </c>
      <c r="AC19" t="s">
        <v>10</v>
      </c>
      <c r="AD19" t="str">
        <f t="shared" si="3"/>
        <v>_OPOrign[16] = 4.24;   _OLOrign[16] = 16.83;</v>
      </c>
    </row>
    <row r="20" spans="1:30" x14ac:dyDescent="0.2">
      <c r="A20">
        <v>17</v>
      </c>
      <c r="B20">
        <v>0</v>
      </c>
      <c r="C20">
        <v>22.87</v>
      </c>
      <c r="D20" t="s">
        <v>12</v>
      </c>
      <c r="E20">
        <f>A20</f>
        <v>17</v>
      </c>
      <c r="F20" t="s">
        <v>8</v>
      </c>
      <c r="G20">
        <f t="shared" si="0"/>
        <v>22.87</v>
      </c>
      <c r="H20" t="s">
        <v>10</v>
      </c>
      <c r="I20" t="str">
        <f t="shared" si="1"/>
        <v>_SLOrign[17] = 22.87;</v>
      </c>
      <c r="K20" t="s">
        <v>14</v>
      </c>
      <c r="L20">
        <v>17</v>
      </c>
      <c r="M20" t="s">
        <v>15</v>
      </c>
      <c r="N20">
        <v>26.64</v>
      </c>
      <c r="O20" t="s">
        <v>13</v>
      </c>
      <c r="P20" t="str">
        <f t="shared" si="4"/>
        <v>d(17)=26.64;</v>
      </c>
      <c r="R20">
        <v>17</v>
      </c>
      <c r="S20">
        <v>4.13</v>
      </c>
      <c r="T20">
        <v>17.7</v>
      </c>
      <c r="U20" t="s">
        <v>7</v>
      </c>
      <c r="V20">
        <f>R20</f>
        <v>17</v>
      </c>
      <c r="W20" t="s">
        <v>8</v>
      </c>
      <c r="X20">
        <f>S20</f>
        <v>4.13</v>
      </c>
      <c r="Y20" t="s">
        <v>9</v>
      </c>
      <c r="Z20">
        <f>R20</f>
        <v>17</v>
      </c>
      <c r="AA20" t="s">
        <v>8</v>
      </c>
      <c r="AB20">
        <f t="shared" si="2"/>
        <v>17.7</v>
      </c>
      <c r="AC20" t="s">
        <v>10</v>
      </c>
      <c r="AD20" t="str">
        <f t="shared" si="3"/>
        <v>_OPOrign[17] = 4.13;   _OLOrign[17] = 17.7;</v>
      </c>
    </row>
    <row r="21" spans="1:30" x14ac:dyDescent="0.2">
      <c r="A21">
        <v>18</v>
      </c>
      <c r="B21">
        <v>0</v>
      </c>
      <c r="C21">
        <v>21.91</v>
      </c>
      <c r="D21" t="s">
        <v>12</v>
      </c>
      <c r="E21">
        <f>A21</f>
        <v>18</v>
      </c>
      <c r="F21" t="s">
        <v>8</v>
      </c>
      <c r="G21">
        <f t="shared" si="0"/>
        <v>21.91</v>
      </c>
      <c r="H21" t="s">
        <v>10</v>
      </c>
      <c r="I21" t="str">
        <f t="shared" si="1"/>
        <v>_SLOrign[18] = 21.91;</v>
      </c>
      <c r="K21" t="s">
        <v>14</v>
      </c>
      <c r="L21">
        <v>18</v>
      </c>
      <c r="M21" t="s">
        <v>15</v>
      </c>
      <c r="N21">
        <v>26.69</v>
      </c>
      <c r="O21" t="s">
        <v>13</v>
      </c>
      <c r="P21" t="str">
        <f t="shared" si="4"/>
        <v>d(18)=26.69;</v>
      </c>
      <c r="R21">
        <v>18</v>
      </c>
      <c r="S21">
        <v>4.0199999999999996</v>
      </c>
      <c r="T21">
        <v>18.57</v>
      </c>
      <c r="U21" t="s">
        <v>7</v>
      </c>
      <c r="V21">
        <f>R21</f>
        <v>18</v>
      </c>
      <c r="W21" t="s">
        <v>8</v>
      </c>
      <c r="X21">
        <f>S21</f>
        <v>4.0199999999999996</v>
      </c>
      <c r="Y21" t="s">
        <v>9</v>
      </c>
      <c r="Z21">
        <f>R21</f>
        <v>18</v>
      </c>
      <c r="AA21" t="s">
        <v>8</v>
      </c>
      <c r="AB21">
        <f t="shared" si="2"/>
        <v>18.57</v>
      </c>
      <c r="AC21" t="s">
        <v>10</v>
      </c>
      <c r="AD21" t="str">
        <f t="shared" si="3"/>
        <v>_OPOrign[18] = 4.02;   _OLOrign[18] = 18.57;</v>
      </c>
    </row>
    <row r="22" spans="1:30" x14ac:dyDescent="0.2">
      <c r="A22">
        <v>19</v>
      </c>
      <c r="B22">
        <v>0</v>
      </c>
      <c r="C22">
        <v>20.96</v>
      </c>
      <c r="D22" t="s">
        <v>12</v>
      </c>
      <c r="E22">
        <f>A22</f>
        <v>19</v>
      </c>
      <c r="F22" t="s">
        <v>8</v>
      </c>
      <c r="G22">
        <f t="shared" si="0"/>
        <v>20.96</v>
      </c>
      <c r="H22" t="s">
        <v>10</v>
      </c>
      <c r="I22" t="str">
        <f t="shared" si="1"/>
        <v>_SLOrign[19] = 20.96;</v>
      </c>
      <c r="K22" t="s">
        <v>14</v>
      </c>
      <c r="L22">
        <v>19</v>
      </c>
      <c r="M22" t="s">
        <v>15</v>
      </c>
      <c r="N22">
        <v>26.72</v>
      </c>
      <c r="O22" t="s">
        <v>13</v>
      </c>
      <c r="P22" t="str">
        <f t="shared" si="4"/>
        <v>d(19)=26.72;</v>
      </c>
      <c r="R22">
        <v>19</v>
      </c>
      <c r="S22">
        <v>3.92</v>
      </c>
      <c r="T22">
        <v>19.440000000000001</v>
      </c>
      <c r="U22" t="s">
        <v>7</v>
      </c>
      <c r="V22">
        <f>R22</f>
        <v>19</v>
      </c>
      <c r="W22" t="s">
        <v>8</v>
      </c>
      <c r="X22">
        <f>S22</f>
        <v>3.92</v>
      </c>
      <c r="Y22" t="s">
        <v>9</v>
      </c>
      <c r="Z22">
        <f>R22</f>
        <v>19</v>
      </c>
      <c r="AA22" t="s">
        <v>8</v>
      </c>
      <c r="AB22">
        <f t="shared" si="2"/>
        <v>19.440000000000001</v>
      </c>
      <c r="AC22" t="s">
        <v>10</v>
      </c>
      <c r="AD22" t="str">
        <f t="shared" si="3"/>
        <v>_OPOrign[19] = 3.92;   _OLOrign[19] = 19.44;</v>
      </c>
    </row>
    <row r="23" spans="1:30" x14ac:dyDescent="0.2">
      <c r="A23">
        <v>20</v>
      </c>
      <c r="B23">
        <v>0</v>
      </c>
      <c r="C23">
        <v>20.02</v>
      </c>
      <c r="D23" t="s">
        <v>12</v>
      </c>
      <c r="E23">
        <f>A23</f>
        <v>20</v>
      </c>
      <c r="F23" t="s">
        <v>8</v>
      </c>
      <c r="G23">
        <f t="shared" si="0"/>
        <v>20.02</v>
      </c>
      <c r="H23" t="s">
        <v>10</v>
      </c>
      <c r="I23" t="str">
        <f t="shared" si="1"/>
        <v>_SLOrign[20] = 20.02;</v>
      </c>
      <c r="K23" t="s">
        <v>14</v>
      </c>
      <c r="L23">
        <v>20</v>
      </c>
      <c r="M23" t="s">
        <v>15</v>
      </c>
      <c r="N23">
        <v>26.74</v>
      </c>
      <c r="O23" t="s">
        <v>13</v>
      </c>
      <c r="P23" t="str">
        <f t="shared" si="4"/>
        <v>d(20)=26.74;</v>
      </c>
      <c r="R23">
        <v>20</v>
      </c>
      <c r="S23">
        <v>3.82</v>
      </c>
      <c r="T23">
        <v>20.3</v>
      </c>
      <c r="U23" t="s">
        <v>7</v>
      </c>
      <c r="V23">
        <f>R23</f>
        <v>20</v>
      </c>
      <c r="W23" t="s">
        <v>8</v>
      </c>
      <c r="X23">
        <f>S23</f>
        <v>3.82</v>
      </c>
      <c r="Y23" t="s">
        <v>9</v>
      </c>
      <c r="Z23">
        <f>R23</f>
        <v>20</v>
      </c>
      <c r="AA23" t="s">
        <v>8</v>
      </c>
      <c r="AB23">
        <f t="shared" si="2"/>
        <v>20.3</v>
      </c>
      <c r="AC23" t="s">
        <v>10</v>
      </c>
      <c r="AD23" t="str">
        <f t="shared" si="3"/>
        <v>_OPOrign[20] = 3.82;   _OLOrign[20] = 20.3;</v>
      </c>
    </row>
    <row r="24" spans="1:30" x14ac:dyDescent="0.2">
      <c r="A24">
        <v>21</v>
      </c>
      <c r="B24">
        <v>0</v>
      </c>
      <c r="C24">
        <v>19.100000000000001</v>
      </c>
      <c r="D24" t="s">
        <v>12</v>
      </c>
      <c r="E24">
        <f>A24</f>
        <v>21</v>
      </c>
      <c r="F24" t="s">
        <v>8</v>
      </c>
      <c r="G24">
        <f t="shared" si="0"/>
        <v>19.100000000000001</v>
      </c>
      <c r="H24" t="s">
        <v>10</v>
      </c>
      <c r="I24" t="str">
        <f t="shared" si="1"/>
        <v>_SLOrign[21] = 19.1;</v>
      </c>
      <c r="K24" t="s">
        <v>14</v>
      </c>
      <c r="L24">
        <v>21</v>
      </c>
      <c r="M24" t="s">
        <v>15</v>
      </c>
      <c r="N24">
        <v>26.73</v>
      </c>
      <c r="O24" t="s">
        <v>13</v>
      </c>
      <c r="P24" t="str">
        <f t="shared" si="4"/>
        <v>d(21)=26.73;</v>
      </c>
      <c r="R24">
        <v>21</v>
      </c>
      <c r="S24">
        <v>3.73</v>
      </c>
      <c r="T24">
        <v>21.16</v>
      </c>
      <c r="U24" t="s">
        <v>7</v>
      </c>
      <c r="V24">
        <f>R24</f>
        <v>21</v>
      </c>
      <c r="W24" t="s">
        <v>8</v>
      </c>
      <c r="X24">
        <f>S24</f>
        <v>3.73</v>
      </c>
      <c r="Y24" t="s">
        <v>9</v>
      </c>
      <c r="Z24">
        <f>R24</f>
        <v>21</v>
      </c>
      <c r="AA24" t="s">
        <v>8</v>
      </c>
      <c r="AB24">
        <f t="shared" si="2"/>
        <v>21.16</v>
      </c>
      <c r="AC24" t="s">
        <v>10</v>
      </c>
      <c r="AD24" t="str">
        <f t="shared" si="3"/>
        <v>_OPOrign[21] = 3.73;   _OLOrign[21] = 21.16;</v>
      </c>
    </row>
    <row r="25" spans="1:30" x14ac:dyDescent="0.2">
      <c r="A25">
        <v>22</v>
      </c>
      <c r="B25">
        <v>0</v>
      </c>
      <c r="C25">
        <v>18.190000000000001</v>
      </c>
      <c r="D25" t="s">
        <v>12</v>
      </c>
      <c r="E25">
        <f>A25</f>
        <v>22</v>
      </c>
      <c r="F25" t="s">
        <v>8</v>
      </c>
      <c r="G25">
        <f t="shared" si="0"/>
        <v>18.190000000000001</v>
      </c>
      <c r="H25" t="s">
        <v>10</v>
      </c>
      <c r="I25" t="str">
        <f t="shared" si="1"/>
        <v>_SLOrign[22] = 18.19;</v>
      </c>
      <c r="K25" t="s">
        <v>14</v>
      </c>
      <c r="L25">
        <v>22</v>
      </c>
      <c r="M25" t="s">
        <v>15</v>
      </c>
      <c r="N25">
        <v>26.72</v>
      </c>
      <c r="O25" t="s">
        <v>13</v>
      </c>
      <c r="P25" t="str">
        <f t="shared" si="4"/>
        <v>d(22)=26.72;</v>
      </c>
      <c r="R25">
        <v>22</v>
      </c>
      <c r="S25">
        <v>3.65</v>
      </c>
      <c r="T25">
        <v>22.01</v>
      </c>
      <c r="U25" t="s">
        <v>7</v>
      </c>
      <c r="V25">
        <f>R25</f>
        <v>22</v>
      </c>
      <c r="W25" t="s">
        <v>8</v>
      </c>
      <c r="X25">
        <f>S25</f>
        <v>3.65</v>
      </c>
      <c r="Y25" t="s">
        <v>9</v>
      </c>
      <c r="Z25">
        <f>R25</f>
        <v>22</v>
      </c>
      <c r="AA25" t="s">
        <v>8</v>
      </c>
      <c r="AB25">
        <f t="shared" si="2"/>
        <v>22.01</v>
      </c>
      <c r="AC25" t="s">
        <v>10</v>
      </c>
      <c r="AD25" t="str">
        <f t="shared" si="3"/>
        <v>_OPOrign[22] = 3.65;   _OLOrign[22] = 22.01;</v>
      </c>
    </row>
    <row r="26" spans="1:30" x14ac:dyDescent="0.2">
      <c r="A26">
        <v>23</v>
      </c>
      <c r="B26">
        <v>0</v>
      </c>
      <c r="C26">
        <v>17.3</v>
      </c>
      <c r="D26" t="s">
        <v>12</v>
      </c>
      <c r="E26">
        <f>A26</f>
        <v>23</v>
      </c>
      <c r="F26" t="s">
        <v>8</v>
      </c>
      <c r="G26">
        <f t="shared" si="0"/>
        <v>17.3</v>
      </c>
      <c r="H26" t="s">
        <v>10</v>
      </c>
      <c r="I26" t="str">
        <f t="shared" si="1"/>
        <v>_SLOrign[23] = 17.3;</v>
      </c>
      <c r="K26" t="s">
        <v>14</v>
      </c>
      <c r="L26">
        <v>23</v>
      </c>
      <c r="M26" t="s">
        <v>15</v>
      </c>
      <c r="N26">
        <v>26.68</v>
      </c>
      <c r="O26" t="s">
        <v>13</v>
      </c>
      <c r="P26" t="str">
        <f t="shared" si="4"/>
        <v>d(23)=26.68;</v>
      </c>
      <c r="R26">
        <v>23</v>
      </c>
      <c r="S26">
        <v>3.56</v>
      </c>
      <c r="T26">
        <v>22.86</v>
      </c>
      <c r="U26" t="s">
        <v>7</v>
      </c>
      <c r="V26">
        <f>R26</f>
        <v>23</v>
      </c>
      <c r="W26" t="s">
        <v>8</v>
      </c>
      <c r="X26">
        <f>S26</f>
        <v>3.56</v>
      </c>
      <c r="Y26" t="s">
        <v>9</v>
      </c>
      <c r="Z26">
        <f>R26</f>
        <v>23</v>
      </c>
      <c r="AA26" t="s">
        <v>8</v>
      </c>
      <c r="AB26">
        <f t="shared" si="2"/>
        <v>22.86</v>
      </c>
      <c r="AC26" t="s">
        <v>10</v>
      </c>
      <c r="AD26" t="str">
        <f t="shared" si="3"/>
        <v>_OPOrign[23] = 3.56;   _OLOrign[23] = 22.86;</v>
      </c>
    </row>
    <row r="27" spans="1:30" x14ac:dyDescent="0.2">
      <c r="A27">
        <v>24</v>
      </c>
      <c r="B27">
        <v>0</v>
      </c>
      <c r="C27">
        <v>16.43</v>
      </c>
      <c r="D27" t="s">
        <v>12</v>
      </c>
      <c r="E27">
        <f>A27</f>
        <v>24</v>
      </c>
      <c r="F27" t="s">
        <v>8</v>
      </c>
      <c r="G27">
        <f t="shared" si="0"/>
        <v>16.43</v>
      </c>
      <c r="H27" t="s">
        <v>10</v>
      </c>
      <c r="I27" t="str">
        <f t="shared" si="1"/>
        <v>_SLOrign[24] = 16.43;</v>
      </c>
      <c r="K27" t="s">
        <v>14</v>
      </c>
      <c r="L27">
        <v>24</v>
      </c>
      <c r="M27" t="s">
        <v>15</v>
      </c>
      <c r="N27">
        <v>26.64</v>
      </c>
      <c r="O27" t="s">
        <v>13</v>
      </c>
      <c r="P27" t="str">
        <f t="shared" si="4"/>
        <v>d(24)=26.64;</v>
      </c>
      <c r="R27">
        <v>24</v>
      </c>
      <c r="S27">
        <v>3.49</v>
      </c>
      <c r="T27">
        <v>23.7</v>
      </c>
      <c r="U27" t="s">
        <v>7</v>
      </c>
      <c r="V27">
        <f>R27</f>
        <v>24</v>
      </c>
      <c r="W27" t="s">
        <v>8</v>
      </c>
      <c r="X27">
        <f>S27</f>
        <v>3.49</v>
      </c>
      <c r="Y27" t="s">
        <v>9</v>
      </c>
      <c r="Z27">
        <f>R27</f>
        <v>24</v>
      </c>
      <c r="AA27" t="s">
        <v>8</v>
      </c>
      <c r="AB27">
        <f t="shared" si="2"/>
        <v>23.7</v>
      </c>
      <c r="AC27" t="s">
        <v>10</v>
      </c>
      <c r="AD27" t="str">
        <f t="shared" si="3"/>
        <v>_OPOrign[24] = 3.49;   _OLOrign[24] = 23.7;</v>
      </c>
    </row>
    <row r="28" spans="1:30" x14ac:dyDescent="0.2">
      <c r="A28">
        <v>25</v>
      </c>
      <c r="B28">
        <v>0</v>
      </c>
      <c r="C28">
        <v>15.17</v>
      </c>
      <c r="D28" t="s">
        <v>12</v>
      </c>
      <c r="E28">
        <f>A28</f>
        <v>25</v>
      </c>
      <c r="F28" t="s">
        <v>8</v>
      </c>
      <c r="G28">
        <f t="shared" si="0"/>
        <v>15.17</v>
      </c>
      <c r="H28" t="s">
        <v>10</v>
      </c>
      <c r="I28" t="str">
        <f t="shared" si="1"/>
        <v>_SLOrign[25] = 15.17;</v>
      </c>
      <c r="K28" t="s">
        <v>14</v>
      </c>
      <c r="L28">
        <v>25</v>
      </c>
      <c r="M28" t="s">
        <v>15</v>
      </c>
      <c r="N28">
        <v>26.58</v>
      </c>
      <c r="O28" t="s">
        <v>13</v>
      </c>
      <c r="P28" t="str">
        <f t="shared" si="4"/>
        <v>d(25)=26.58;</v>
      </c>
      <c r="R28">
        <v>25</v>
      </c>
      <c r="S28">
        <v>3.42</v>
      </c>
      <c r="T28">
        <v>24.53</v>
      </c>
      <c r="U28" t="s">
        <v>7</v>
      </c>
      <c r="V28">
        <f>R28</f>
        <v>25</v>
      </c>
      <c r="W28" t="s">
        <v>8</v>
      </c>
      <c r="X28">
        <f>S28</f>
        <v>3.42</v>
      </c>
      <c r="Y28" t="s">
        <v>9</v>
      </c>
      <c r="Z28">
        <f>R28</f>
        <v>25</v>
      </c>
      <c r="AA28" t="s">
        <v>8</v>
      </c>
      <c r="AB28">
        <f t="shared" si="2"/>
        <v>24.53</v>
      </c>
      <c r="AC28" t="s">
        <v>10</v>
      </c>
      <c r="AD28" t="str">
        <f t="shared" si="3"/>
        <v>_OPOrign[25] = 3.42;   _OLOrign[25] = 24.53;</v>
      </c>
    </row>
    <row r="29" spans="1:30" x14ac:dyDescent="0.2">
      <c r="A29">
        <v>26</v>
      </c>
      <c r="B29">
        <v>0</v>
      </c>
      <c r="C29">
        <v>14.73</v>
      </c>
      <c r="D29" t="s">
        <v>12</v>
      </c>
      <c r="E29">
        <f>A29</f>
        <v>26</v>
      </c>
      <c r="F29" t="s">
        <v>8</v>
      </c>
      <c r="G29">
        <f t="shared" si="0"/>
        <v>14.73</v>
      </c>
      <c r="H29" t="s">
        <v>10</v>
      </c>
      <c r="I29" t="str">
        <f t="shared" si="1"/>
        <v>_SLOrign[26] = 14.73;</v>
      </c>
      <c r="K29" t="s">
        <v>14</v>
      </c>
      <c r="L29">
        <v>26</v>
      </c>
      <c r="M29" t="s">
        <v>15</v>
      </c>
      <c r="N29">
        <v>26.51</v>
      </c>
      <c r="O29" t="s">
        <v>13</v>
      </c>
      <c r="P29" t="str">
        <f t="shared" si="4"/>
        <v>d(26)=26.51;</v>
      </c>
      <c r="R29">
        <v>26</v>
      </c>
      <c r="S29">
        <v>3.35</v>
      </c>
      <c r="T29">
        <v>25.36</v>
      </c>
      <c r="U29" t="s">
        <v>7</v>
      </c>
      <c r="V29">
        <f>R29</f>
        <v>26</v>
      </c>
      <c r="W29" t="s">
        <v>8</v>
      </c>
      <c r="X29">
        <f>S29</f>
        <v>3.35</v>
      </c>
      <c r="Y29" t="s">
        <v>9</v>
      </c>
      <c r="Z29">
        <f>R29</f>
        <v>26</v>
      </c>
      <c r="AA29" t="s">
        <v>8</v>
      </c>
      <c r="AB29">
        <f t="shared" si="2"/>
        <v>25.36</v>
      </c>
      <c r="AC29" t="s">
        <v>10</v>
      </c>
      <c r="AD29" t="str">
        <f t="shared" si="3"/>
        <v>_OPOrign[26] = 3.35;   _OLOrign[26] = 25.36;</v>
      </c>
    </row>
    <row r="30" spans="1:30" x14ac:dyDescent="0.2">
      <c r="A30">
        <v>27</v>
      </c>
      <c r="B30">
        <v>0</v>
      </c>
      <c r="C30">
        <v>13.91</v>
      </c>
      <c r="D30" t="s">
        <v>12</v>
      </c>
      <c r="E30">
        <f>A30</f>
        <v>27</v>
      </c>
      <c r="F30" t="s">
        <v>8</v>
      </c>
      <c r="G30">
        <f t="shared" si="0"/>
        <v>13.91</v>
      </c>
      <c r="H30" t="s">
        <v>10</v>
      </c>
      <c r="I30" t="str">
        <f t="shared" si="1"/>
        <v>_SLOrign[27] = 13.91;</v>
      </c>
      <c r="K30" t="s">
        <v>14</v>
      </c>
      <c r="L30">
        <v>27</v>
      </c>
      <c r="M30" t="s">
        <v>15</v>
      </c>
      <c r="N30">
        <v>26.42</v>
      </c>
      <c r="O30" t="s">
        <v>13</v>
      </c>
      <c r="P30" t="str">
        <f t="shared" si="4"/>
        <v>d(27)=26.42;</v>
      </c>
      <c r="R30">
        <v>27</v>
      </c>
      <c r="S30">
        <v>3.28</v>
      </c>
      <c r="T30">
        <v>26.19</v>
      </c>
      <c r="U30" t="s">
        <v>7</v>
      </c>
      <c r="V30">
        <f>R30</f>
        <v>27</v>
      </c>
      <c r="W30" t="s">
        <v>8</v>
      </c>
      <c r="X30">
        <f>S30</f>
        <v>3.28</v>
      </c>
      <c r="Y30" t="s">
        <v>9</v>
      </c>
      <c r="Z30">
        <f>R30</f>
        <v>27</v>
      </c>
      <c r="AA30" t="s">
        <v>8</v>
      </c>
      <c r="AB30">
        <f t="shared" si="2"/>
        <v>26.19</v>
      </c>
      <c r="AC30" t="s">
        <v>10</v>
      </c>
      <c r="AD30" t="str">
        <f t="shared" si="3"/>
        <v>_OPOrign[27] = 3.28;   _OLOrign[27] = 26.19;</v>
      </c>
    </row>
    <row r="31" spans="1:30" x14ac:dyDescent="0.2">
      <c r="A31">
        <v>28</v>
      </c>
      <c r="B31">
        <v>0</v>
      </c>
      <c r="C31">
        <v>13.11</v>
      </c>
      <c r="D31" t="s">
        <v>12</v>
      </c>
      <c r="E31">
        <f>A31</f>
        <v>28</v>
      </c>
      <c r="F31" t="s">
        <v>8</v>
      </c>
      <c r="G31">
        <f t="shared" si="0"/>
        <v>13.11</v>
      </c>
      <c r="H31" t="s">
        <v>10</v>
      </c>
      <c r="I31" t="str">
        <f t="shared" si="1"/>
        <v>_SLOrign[28] = 13.11;</v>
      </c>
      <c r="K31" t="s">
        <v>14</v>
      </c>
      <c r="L31">
        <v>28</v>
      </c>
      <c r="M31" t="s">
        <v>15</v>
      </c>
      <c r="N31">
        <v>26.33</v>
      </c>
      <c r="O31" t="s">
        <v>13</v>
      </c>
      <c r="P31" t="str">
        <f t="shared" si="4"/>
        <v>d(28)=26.33;</v>
      </c>
      <c r="R31">
        <v>28</v>
      </c>
      <c r="S31">
        <v>3.22</v>
      </c>
      <c r="T31">
        <v>27</v>
      </c>
      <c r="U31" t="s">
        <v>7</v>
      </c>
      <c r="V31">
        <f>R31</f>
        <v>28</v>
      </c>
      <c r="W31" t="s">
        <v>8</v>
      </c>
      <c r="X31">
        <f>S31</f>
        <v>3.22</v>
      </c>
      <c r="Y31" t="s">
        <v>9</v>
      </c>
      <c r="Z31">
        <f>R31</f>
        <v>28</v>
      </c>
      <c r="AA31" t="s">
        <v>8</v>
      </c>
      <c r="AB31">
        <f t="shared" si="2"/>
        <v>27</v>
      </c>
      <c r="AC31" t="s">
        <v>10</v>
      </c>
      <c r="AD31" t="str">
        <f t="shared" si="3"/>
        <v>_OPOrign[28] = 3.22;   _OLOrign[28] = 27;</v>
      </c>
    </row>
    <row r="32" spans="1:30" x14ac:dyDescent="0.2">
      <c r="A32">
        <v>29</v>
      </c>
      <c r="B32">
        <v>0</v>
      </c>
      <c r="C32">
        <v>12.32</v>
      </c>
      <c r="D32" t="s">
        <v>12</v>
      </c>
      <c r="E32">
        <f>A32</f>
        <v>29</v>
      </c>
      <c r="F32" t="s">
        <v>8</v>
      </c>
      <c r="G32">
        <f t="shared" si="0"/>
        <v>12.32</v>
      </c>
      <c r="H32" t="s">
        <v>10</v>
      </c>
      <c r="I32" t="str">
        <f t="shared" si="1"/>
        <v>_SLOrign[29] = 12.32;</v>
      </c>
      <c r="K32" t="s">
        <v>14</v>
      </c>
      <c r="L32">
        <v>29</v>
      </c>
      <c r="M32" t="s">
        <v>15</v>
      </c>
      <c r="N32">
        <v>26.22</v>
      </c>
      <c r="O32" t="s">
        <v>13</v>
      </c>
      <c r="P32" t="str">
        <f t="shared" si="4"/>
        <v>d(29)=26.22;</v>
      </c>
      <c r="R32">
        <v>29</v>
      </c>
      <c r="S32">
        <v>3.16</v>
      </c>
      <c r="T32">
        <v>27.81</v>
      </c>
      <c r="U32" t="s">
        <v>7</v>
      </c>
      <c r="V32">
        <f>R32</f>
        <v>29</v>
      </c>
      <c r="W32" t="s">
        <v>8</v>
      </c>
      <c r="X32">
        <f>S32</f>
        <v>3.16</v>
      </c>
      <c r="Y32" t="s">
        <v>9</v>
      </c>
      <c r="Z32">
        <f>R32</f>
        <v>29</v>
      </c>
      <c r="AA32" t="s">
        <v>8</v>
      </c>
      <c r="AB32">
        <f t="shared" si="2"/>
        <v>27.81</v>
      </c>
      <c r="AC32" t="s">
        <v>10</v>
      </c>
      <c r="AD32" t="str">
        <f t="shared" si="3"/>
        <v>_OPOrign[29] = 3.16;   _OLOrign[29] = 27.81;</v>
      </c>
    </row>
    <row r="33" spans="1:30" x14ac:dyDescent="0.2">
      <c r="A33">
        <v>30</v>
      </c>
      <c r="B33">
        <v>0</v>
      </c>
      <c r="C33">
        <v>11.55</v>
      </c>
      <c r="D33" t="s">
        <v>12</v>
      </c>
      <c r="E33">
        <f>A33</f>
        <v>30</v>
      </c>
      <c r="F33" t="s">
        <v>8</v>
      </c>
      <c r="G33">
        <f t="shared" si="0"/>
        <v>11.55</v>
      </c>
      <c r="H33" t="s">
        <v>10</v>
      </c>
      <c r="I33" t="str">
        <f t="shared" si="1"/>
        <v>_SLOrign[30] = 11.55;</v>
      </c>
      <c r="K33" t="s">
        <v>14</v>
      </c>
      <c r="L33">
        <v>30</v>
      </c>
      <c r="M33" t="s">
        <v>15</v>
      </c>
      <c r="N33">
        <v>26.11</v>
      </c>
      <c r="O33" t="s">
        <v>13</v>
      </c>
      <c r="P33" t="str">
        <f t="shared" si="4"/>
        <v>d(30)=26.11;</v>
      </c>
      <c r="R33">
        <v>30</v>
      </c>
      <c r="S33">
        <v>3.11</v>
      </c>
      <c r="T33">
        <v>28.62</v>
      </c>
      <c r="U33" t="s">
        <v>7</v>
      </c>
      <c r="V33">
        <f>R33</f>
        <v>30</v>
      </c>
      <c r="W33" t="s">
        <v>8</v>
      </c>
      <c r="X33">
        <f>S33</f>
        <v>3.11</v>
      </c>
      <c r="Y33" t="s">
        <v>9</v>
      </c>
      <c r="Z33">
        <f>R33</f>
        <v>30</v>
      </c>
      <c r="AA33" t="s">
        <v>8</v>
      </c>
      <c r="AB33">
        <f t="shared" si="2"/>
        <v>28.62</v>
      </c>
      <c r="AC33" t="s">
        <v>10</v>
      </c>
      <c r="AD33" t="str">
        <f t="shared" si="3"/>
        <v>_OPOrign[30] = 3.11;   _OLOrign[30] = 28.62;</v>
      </c>
    </row>
    <row r="34" spans="1:30" x14ac:dyDescent="0.2">
      <c r="A34">
        <v>31</v>
      </c>
      <c r="B34">
        <v>0</v>
      </c>
      <c r="C34">
        <v>10.8</v>
      </c>
      <c r="D34" t="s">
        <v>12</v>
      </c>
      <c r="E34">
        <f>A34</f>
        <v>31</v>
      </c>
      <c r="F34" t="s">
        <v>8</v>
      </c>
      <c r="G34">
        <f t="shared" si="0"/>
        <v>10.8</v>
      </c>
      <c r="H34" t="s">
        <v>10</v>
      </c>
      <c r="I34" t="str">
        <f t="shared" si="1"/>
        <v>_SLOrign[31] = 10.8;</v>
      </c>
      <c r="K34" t="s">
        <v>14</v>
      </c>
      <c r="L34">
        <v>31</v>
      </c>
      <c r="M34" t="s">
        <v>15</v>
      </c>
      <c r="N34">
        <v>25.99</v>
      </c>
      <c r="O34" t="s">
        <v>13</v>
      </c>
      <c r="P34" t="str">
        <f t="shared" si="4"/>
        <v>d(31)=25.99;</v>
      </c>
      <c r="R34">
        <v>31</v>
      </c>
      <c r="S34">
        <v>3.05</v>
      </c>
      <c r="T34">
        <v>29.41</v>
      </c>
      <c r="U34" t="s">
        <v>7</v>
      </c>
      <c r="V34">
        <f>R34</f>
        <v>31</v>
      </c>
      <c r="W34" t="s">
        <v>8</v>
      </c>
      <c r="X34">
        <f>S34</f>
        <v>3.05</v>
      </c>
      <c r="Y34" t="s">
        <v>9</v>
      </c>
      <c r="Z34">
        <f>R34</f>
        <v>31</v>
      </c>
      <c r="AA34" t="s">
        <v>8</v>
      </c>
      <c r="AB34">
        <f t="shared" si="2"/>
        <v>29.41</v>
      </c>
      <c r="AC34" t="s">
        <v>10</v>
      </c>
      <c r="AD34" t="str">
        <f t="shared" si="3"/>
        <v>_OPOrign[31] = 3.05;   _OLOrign[31] = 29.41;</v>
      </c>
    </row>
    <row r="35" spans="1:30" x14ac:dyDescent="0.2">
      <c r="A35">
        <v>32</v>
      </c>
      <c r="B35">
        <v>0</v>
      </c>
      <c r="C35">
        <v>10.07</v>
      </c>
      <c r="D35" t="s">
        <v>12</v>
      </c>
      <c r="E35">
        <f>A35</f>
        <v>32</v>
      </c>
      <c r="F35" t="s">
        <v>8</v>
      </c>
      <c r="G35">
        <f t="shared" si="0"/>
        <v>10.07</v>
      </c>
      <c r="H35" t="s">
        <v>10</v>
      </c>
      <c r="I35" t="str">
        <f t="shared" si="1"/>
        <v>_SLOrign[32] = 10.07;</v>
      </c>
      <c r="K35" t="s">
        <v>14</v>
      </c>
      <c r="L35">
        <v>32</v>
      </c>
      <c r="M35" t="s">
        <v>15</v>
      </c>
      <c r="N35">
        <v>25.85</v>
      </c>
      <c r="O35" t="s">
        <v>13</v>
      </c>
      <c r="P35" t="str">
        <f t="shared" si="4"/>
        <v>d(32)=25.85;</v>
      </c>
      <c r="R35">
        <v>32</v>
      </c>
      <c r="S35">
        <v>3</v>
      </c>
      <c r="T35">
        <v>30.2</v>
      </c>
      <c r="U35" t="s">
        <v>7</v>
      </c>
      <c r="V35">
        <f>R35</f>
        <v>32</v>
      </c>
      <c r="W35" t="s">
        <v>8</v>
      </c>
      <c r="X35">
        <f>S35</f>
        <v>3</v>
      </c>
      <c r="Y35" t="s">
        <v>9</v>
      </c>
      <c r="Z35">
        <f>R35</f>
        <v>32</v>
      </c>
      <c r="AA35" t="s">
        <v>8</v>
      </c>
      <c r="AB35">
        <f t="shared" si="2"/>
        <v>30.2</v>
      </c>
      <c r="AC35" t="s">
        <v>10</v>
      </c>
      <c r="AD35" t="str">
        <f t="shared" si="3"/>
        <v>_OPOrign[32] = 3;   _OLOrign[32] = 30.2;</v>
      </c>
    </row>
    <row r="36" spans="1:30" x14ac:dyDescent="0.2">
      <c r="A36">
        <v>33</v>
      </c>
      <c r="B36">
        <v>0</v>
      </c>
      <c r="C36">
        <v>9.36</v>
      </c>
      <c r="D36" t="s">
        <v>12</v>
      </c>
      <c r="E36">
        <f>A36</f>
        <v>33</v>
      </c>
      <c r="F36" t="s">
        <v>8</v>
      </c>
      <c r="G36">
        <f t="shared" si="0"/>
        <v>9.36</v>
      </c>
      <c r="H36" t="s">
        <v>10</v>
      </c>
      <c r="I36" t="str">
        <f t="shared" si="1"/>
        <v>_SLOrign[33] = 9.36;</v>
      </c>
      <c r="K36" t="s">
        <v>14</v>
      </c>
      <c r="L36">
        <v>33</v>
      </c>
      <c r="M36" t="s">
        <v>15</v>
      </c>
      <c r="N36">
        <v>25.71</v>
      </c>
      <c r="O36" t="s">
        <v>13</v>
      </c>
      <c r="P36" t="str">
        <f t="shared" si="4"/>
        <v>d(33)=25.71;</v>
      </c>
      <c r="R36">
        <v>33</v>
      </c>
      <c r="S36">
        <v>2.95</v>
      </c>
      <c r="T36">
        <v>30.98</v>
      </c>
      <c r="U36" t="s">
        <v>7</v>
      </c>
      <c r="V36">
        <f>R36</f>
        <v>33</v>
      </c>
      <c r="W36" t="s">
        <v>8</v>
      </c>
      <c r="X36">
        <f>S36</f>
        <v>2.95</v>
      </c>
      <c r="Y36" t="s">
        <v>9</v>
      </c>
      <c r="Z36">
        <f>R36</f>
        <v>33</v>
      </c>
      <c r="AA36" t="s">
        <v>8</v>
      </c>
      <c r="AB36">
        <f t="shared" si="2"/>
        <v>30.98</v>
      </c>
      <c r="AC36" t="s">
        <v>10</v>
      </c>
      <c r="AD36" t="str">
        <f t="shared" si="3"/>
        <v>_OPOrign[33] = 2.95;   _OLOrign[33] = 30.98;</v>
      </c>
    </row>
    <row r="37" spans="1:30" x14ac:dyDescent="0.2">
      <c r="A37">
        <v>34</v>
      </c>
      <c r="B37">
        <v>0</v>
      </c>
      <c r="C37">
        <v>8.66</v>
      </c>
      <c r="D37" t="s">
        <v>12</v>
      </c>
      <c r="E37">
        <f>A37</f>
        <v>34</v>
      </c>
      <c r="F37" t="s">
        <v>8</v>
      </c>
      <c r="G37">
        <f t="shared" si="0"/>
        <v>8.66</v>
      </c>
      <c r="H37" t="s">
        <v>10</v>
      </c>
      <c r="I37" t="str">
        <f t="shared" si="1"/>
        <v>_SLOrign[34] = 8.66;</v>
      </c>
      <c r="K37" t="s">
        <v>14</v>
      </c>
      <c r="L37">
        <v>34</v>
      </c>
      <c r="M37" t="s">
        <v>15</v>
      </c>
      <c r="N37">
        <v>25.57</v>
      </c>
      <c r="O37" t="s">
        <v>13</v>
      </c>
      <c r="P37" t="str">
        <f t="shared" si="4"/>
        <v>d(34)=25.57;</v>
      </c>
      <c r="R37">
        <v>34</v>
      </c>
      <c r="S37">
        <v>2.9</v>
      </c>
      <c r="T37">
        <v>31.75</v>
      </c>
      <c r="U37" t="s">
        <v>7</v>
      </c>
      <c r="V37">
        <f>R37</f>
        <v>34</v>
      </c>
      <c r="W37" t="s">
        <v>8</v>
      </c>
      <c r="X37">
        <f>S37</f>
        <v>2.9</v>
      </c>
      <c r="Y37" t="s">
        <v>9</v>
      </c>
      <c r="Z37">
        <f>R37</f>
        <v>34</v>
      </c>
      <c r="AA37" t="s">
        <v>8</v>
      </c>
      <c r="AB37">
        <f t="shared" si="2"/>
        <v>31.75</v>
      </c>
      <c r="AC37" t="s">
        <v>10</v>
      </c>
      <c r="AD37" t="str">
        <f t="shared" si="3"/>
        <v>_OPOrign[34] = 2.9;   _OLOrign[34] = 31.75;</v>
      </c>
    </row>
    <row r="38" spans="1:30" x14ac:dyDescent="0.2">
      <c r="A38">
        <v>35</v>
      </c>
      <c r="B38">
        <v>0</v>
      </c>
      <c r="C38">
        <v>7.99</v>
      </c>
      <c r="D38" t="s">
        <v>12</v>
      </c>
      <c r="E38">
        <f>A38</f>
        <v>35</v>
      </c>
      <c r="F38" t="s">
        <v>8</v>
      </c>
      <c r="G38">
        <f t="shared" si="0"/>
        <v>7.99</v>
      </c>
      <c r="H38" t="s">
        <v>10</v>
      </c>
      <c r="I38" t="str">
        <f t="shared" si="1"/>
        <v>_SLOrign[35] = 7.99;</v>
      </c>
      <c r="K38" t="s">
        <v>14</v>
      </c>
      <c r="L38">
        <v>35</v>
      </c>
      <c r="M38" t="s">
        <v>15</v>
      </c>
      <c r="N38">
        <v>25.41</v>
      </c>
      <c r="O38" t="s">
        <v>13</v>
      </c>
      <c r="P38" t="str">
        <f t="shared" si="4"/>
        <v>d(35)=25.41;</v>
      </c>
      <c r="R38">
        <v>35</v>
      </c>
      <c r="S38">
        <v>2.86</v>
      </c>
      <c r="T38">
        <v>32.51</v>
      </c>
      <c r="U38" t="s">
        <v>7</v>
      </c>
      <c r="V38">
        <f>R38</f>
        <v>35</v>
      </c>
      <c r="W38" t="s">
        <v>8</v>
      </c>
      <c r="X38">
        <f>S38</f>
        <v>2.86</v>
      </c>
      <c r="Y38" t="s">
        <v>9</v>
      </c>
      <c r="Z38">
        <f>R38</f>
        <v>35</v>
      </c>
      <c r="AA38" t="s">
        <v>8</v>
      </c>
      <c r="AB38">
        <f t="shared" si="2"/>
        <v>32.51</v>
      </c>
      <c r="AC38" t="s">
        <v>10</v>
      </c>
      <c r="AD38" t="str">
        <f t="shared" si="3"/>
        <v>_OPOrign[35] = 2.86;   _OLOrign[35] = 32.51;</v>
      </c>
    </row>
    <row r="39" spans="1:30" x14ac:dyDescent="0.2">
      <c r="A39">
        <v>36</v>
      </c>
      <c r="B39">
        <v>0</v>
      </c>
      <c r="C39">
        <v>7.33</v>
      </c>
      <c r="D39" t="s">
        <v>12</v>
      </c>
      <c r="E39">
        <f>A39</f>
        <v>36</v>
      </c>
      <c r="F39" t="s">
        <v>8</v>
      </c>
      <c r="G39">
        <f t="shared" si="0"/>
        <v>7.33</v>
      </c>
      <c r="H39" t="s">
        <v>10</v>
      </c>
      <c r="I39" t="str">
        <f t="shared" si="1"/>
        <v>_SLOrign[36] = 7.33;</v>
      </c>
      <c r="K39" t="s">
        <v>14</v>
      </c>
      <c r="L39">
        <v>36</v>
      </c>
      <c r="M39" t="s">
        <v>15</v>
      </c>
      <c r="N39">
        <v>25.25</v>
      </c>
      <c r="O39" t="s">
        <v>13</v>
      </c>
      <c r="P39" t="str">
        <f t="shared" si="4"/>
        <v>d(36)=25.25;</v>
      </c>
      <c r="R39">
        <v>36</v>
      </c>
      <c r="S39">
        <v>2.81</v>
      </c>
      <c r="T39">
        <v>33.270000000000003</v>
      </c>
      <c r="U39" t="s">
        <v>7</v>
      </c>
      <c r="V39">
        <f>R39</f>
        <v>36</v>
      </c>
      <c r="W39" t="s">
        <v>8</v>
      </c>
      <c r="X39">
        <f>S39</f>
        <v>2.81</v>
      </c>
      <c r="Y39" t="s">
        <v>9</v>
      </c>
      <c r="Z39">
        <f>R39</f>
        <v>36</v>
      </c>
      <c r="AA39" t="s">
        <v>8</v>
      </c>
      <c r="AB39">
        <f t="shared" si="2"/>
        <v>33.270000000000003</v>
      </c>
      <c r="AC39" t="s">
        <v>10</v>
      </c>
      <c r="AD39" t="str">
        <f t="shared" si="3"/>
        <v>_OPOrign[36] = 2.81;   _OLOrign[36] = 33.27;</v>
      </c>
    </row>
    <row r="40" spans="1:30" x14ac:dyDescent="0.2">
      <c r="A40">
        <v>37</v>
      </c>
      <c r="B40">
        <v>0</v>
      </c>
      <c r="C40">
        <v>6.7</v>
      </c>
      <c r="D40" t="s">
        <v>12</v>
      </c>
      <c r="E40">
        <f>A40</f>
        <v>37</v>
      </c>
      <c r="F40" t="s">
        <v>8</v>
      </c>
      <c r="G40">
        <f t="shared" si="0"/>
        <v>6.7</v>
      </c>
      <c r="H40" t="s">
        <v>10</v>
      </c>
      <c r="I40" t="str">
        <f t="shared" si="1"/>
        <v>_SLOrign[37] = 6.7;</v>
      </c>
      <c r="K40" t="s">
        <v>14</v>
      </c>
      <c r="L40">
        <v>37</v>
      </c>
      <c r="M40" t="s">
        <v>15</v>
      </c>
      <c r="N40">
        <v>25.09</v>
      </c>
      <c r="O40" t="s">
        <v>13</v>
      </c>
      <c r="P40" t="str">
        <f t="shared" si="4"/>
        <v>d(37)=25.09;</v>
      </c>
      <c r="R40">
        <v>37</v>
      </c>
      <c r="S40">
        <v>2.77</v>
      </c>
      <c r="T40">
        <v>34.01</v>
      </c>
      <c r="U40" t="s">
        <v>7</v>
      </c>
      <c r="V40">
        <f>R40</f>
        <v>37</v>
      </c>
      <c r="W40" t="s">
        <v>8</v>
      </c>
      <c r="X40">
        <f>S40</f>
        <v>2.77</v>
      </c>
      <c r="Y40" t="s">
        <v>9</v>
      </c>
      <c r="Z40">
        <f>R40</f>
        <v>37</v>
      </c>
      <c r="AA40" t="s">
        <v>8</v>
      </c>
      <c r="AB40">
        <f t="shared" si="2"/>
        <v>34.01</v>
      </c>
      <c r="AC40" t="s">
        <v>10</v>
      </c>
      <c r="AD40" t="str">
        <f t="shared" si="3"/>
        <v>_OPOrign[37] = 2.77;   _OLOrign[37] = 34.01;</v>
      </c>
    </row>
    <row r="41" spans="1:30" x14ac:dyDescent="0.2">
      <c r="A41">
        <v>38</v>
      </c>
      <c r="B41">
        <v>0</v>
      </c>
      <c r="C41">
        <v>6.08</v>
      </c>
      <c r="D41" t="s">
        <v>12</v>
      </c>
      <c r="E41">
        <f>A41</f>
        <v>38</v>
      </c>
      <c r="F41" t="s">
        <v>8</v>
      </c>
      <c r="G41">
        <f t="shared" si="0"/>
        <v>6.08</v>
      </c>
      <c r="H41" t="s">
        <v>10</v>
      </c>
      <c r="I41" t="str">
        <f t="shared" si="1"/>
        <v>_SLOrign[38] = 6.08;</v>
      </c>
      <c r="K41" t="s">
        <v>14</v>
      </c>
      <c r="L41">
        <v>38</v>
      </c>
      <c r="M41" t="s">
        <v>15</v>
      </c>
      <c r="N41">
        <v>24.91</v>
      </c>
      <c r="O41" t="s">
        <v>13</v>
      </c>
      <c r="P41" t="str">
        <f t="shared" si="4"/>
        <v>d(38)=24.91;</v>
      </c>
      <c r="R41">
        <v>38</v>
      </c>
      <c r="S41">
        <v>2.73</v>
      </c>
      <c r="T41">
        <v>34.75</v>
      </c>
      <c r="U41" t="s">
        <v>7</v>
      </c>
      <c r="V41">
        <f>R41</f>
        <v>38</v>
      </c>
      <c r="W41" t="s">
        <v>8</v>
      </c>
      <c r="X41">
        <f>S41</f>
        <v>2.73</v>
      </c>
      <c r="Y41" t="s">
        <v>9</v>
      </c>
      <c r="Z41">
        <f>R41</f>
        <v>38</v>
      </c>
      <c r="AA41" t="s">
        <v>8</v>
      </c>
      <c r="AB41">
        <f t="shared" si="2"/>
        <v>34.75</v>
      </c>
      <c r="AC41" t="s">
        <v>10</v>
      </c>
      <c r="AD41" t="str">
        <f t="shared" si="3"/>
        <v>_OPOrign[38] = 2.73;   _OLOrign[38] = 34.75;</v>
      </c>
    </row>
    <row r="42" spans="1:30" x14ac:dyDescent="0.2">
      <c r="A42">
        <v>39</v>
      </c>
      <c r="B42">
        <v>0</v>
      </c>
      <c r="C42">
        <v>5.47</v>
      </c>
      <c r="D42" t="s">
        <v>12</v>
      </c>
      <c r="E42">
        <f>A42</f>
        <v>39</v>
      </c>
      <c r="F42" t="s">
        <v>8</v>
      </c>
      <c r="G42">
        <f t="shared" si="0"/>
        <v>5.47</v>
      </c>
      <c r="H42" t="s">
        <v>10</v>
      </c>
      <c r="I42" t="str">
        <f t="shared" si="1"/>
        <v>_SLOrign[39] = 5.47;</v>
      </c>
      <c r="K42" t="s">
        <v>14</v>
      </c>
      <c r="L42">
        <v>39</v>
      </c>
      <c r="M42" t="s">
        <v>15</v>
      </c>
      <c r="N42">
        <v>24.74</v>
      </c>
      <c r="O42" t="s">
        <v>13</v>
      </c>
      <c r="P42" t="str">
        <f t="shared" si="4"/>
        <v>d(39)=24.74;</v>
      </c>
      <c r="R42">
        <v>39</v>
      </c>
      <c r="S42">
        <v>2.69</v>
      </c>
      <c r="T42">
        <v>35.479999999999997</v>
      </c>
      <c r="U42" t="s">
        <v>7</v>
      </c>
      <c r="V42">
        <f>R42</f>
        <v>39</v>
      </c>
      <c r="W42" t="s">
        <v>8</v>
      </c>
      <c r="X42">
        <f>S42</f>
        <v>2.69</v>
      </c>
      <c r="Y42" t="s">
        <v>9</v>
      </c>
      <c r="Z42">
        <f>R42</f>
        <v>39</v>
      </c>
      <c r="AA42" t="s">
        <v>8</v>
      </c>
      <c r="AB42">
        <f t="shared" si="2"/>
        <v>35.479999999999997</v>
      </c>
      <c r="AC42" t="s">
        <v>10</v>
      </c>
      <c r="AD42" t="str">
        <f t="shared" si="3"/>
        <v>_OPOrign[39] = 2.69;   _OLOrign[39] = 35.48;</v>
      </c>
    </row>
    <row r="43" spans="1:30" x14ac:dyDescent="0.2">
      <c r="A43">
        <v>40</v>
      </c>
      <c r="B43">
        <v>0</v>
      </c>
      <c r="C43">
        <v>4.8899999999999997</v>
      </c>
      <c r="D43" t="s">
        <v>12</v>
      </c>
      <c r="E43">
        <f>A43</f>
        <v>40</v>
      </c>
      <c r="F43" t="s">
        <v>8</v>
      </c>
      <c r="G43">
        <f t="shared" si="0"/>
        <v>4.8899999999999997</v>
      </c>
      <c r="H43" t="s">
        <v>10</v>
      </c>
      <c r="I43" t="str">
        <f t="shared" si="1"/>
        <v>_SLOrign[40] = 4.89;</v>
      </c>
      <c r="K43" t="s">
        <v>14</v>
      </c>
      <c r="L43">
        <v>40</v>
      </c>
      <c r="M43" t="s">
        <v>15</v>
      </c>
      <c r="N43">
        <v>24.56</v>
      </c>
      <c r="O43" t="s">
        <v>13</v>
      </c>
      <c r="P43" t="str">
        <f t="shared" si="4"/>
        <v>d(40)=24.56;</v>
      </c>
      <c r="R43">
        <v>40</v>
      </c>
      <c r="S43">
        <v>2.66</v>
      </c>
      <c r="T43">
        <v>36.200000000000003</v>
      </c>
      <c r="U43" t="s">
        <v>7</v>
      </c>
      <c r="V43">
        <f>R43</f>
        <v>40</v>
      </c>
      <c r="W43" t="s">
        <v>8</v>
      </c>
      <c r="X43">
        <f>S43</f>
        <v>2.66</v>
      </c>
      <c r="Y43" t="s">
        <v>9</v>
      </c>
      <c r="Z43">
        <f>R43</f>
        <v>40</v>
      </c>
      <c r="AA43" t="s">
        <v>8</v>
      </c>
      <c r="AB43">
        <f t="shared" si="2"/>
        <v>36.200000000000003</v>
      </c>
      <c r="AC43" t="s">
        <v>10</v>
      </c>
      <c r="AD43" t="str">
        <f t="shared" si="3"/>
        <v>_OPOrign[40] = 2.66;   _OLOrign[40] = 36.2;</v>
      </c>
    </row>
    <row r="44" spans="1:30" x14ac:dyDescent="0.2">
      <c r="A44">
        <v>41</v>
      </c>
      <c r="B44">
        <v>0</v>
      </c>
      <c r="C44">
        <v>4.33</v>
      </c>
      <c r="D44" t="s">
        <v>12</v>
      </c>
      <c r="E44">
        <f>A44</f>
        <v>41</v>
      </c>
      <c r="F44" t="s">
        <v>8</v>
      </c>
      <c r="G44">
        <f t="shared" si="0"/>
        <v>4.33</v>
      </c>
      <c r="H44" t="s">
        <v>10</v>
      </c>
      <c r="I44" t="str">
        <f t="shared" si="1"/>
        <v>_SLOrign[41] = 4.33;</v>
      </c>
      <c r="K44" t="s">
        <v>14</v>
      </c>
      <c r="L44">
        <v>41</v>
      </c>
      <c r="M44" t="s">
        <v>15</v>
      </c>
      <c r="N44">
        <v>24.37</v>
      </c>
      <c r="O44" t="s">
        <v>13</v>
      </c>
      <c r="P44" t="str">
        <f t="shared" si="4"/>
        <v>d(41)=24.37;</v>
      </c>
      <c r="R44">
        <v>41</v>
      </c>
      <c r="S44">
        <v>2.62</v>
      </c>
      <c r="T44">
        <v>36.9</v>
      </c>
      <c r="U44" t="s">
        <v>7</v>
      </c>
      <c r="V44">
        <f>R44</f>
        <v>41</v>
      </c>
      <c r="W44" t="s">
        <v>8</v>
      </c>
      <c r="X44">
        <f>S44</f>
        <v>2.62</v>
      </c>
      <c r="Y44" t="s">
        <v>9</v>
      </c>
      <c r="Z44">
        <f>R44</f>
        <v>41</v>
      </c>
      <c r="AA44" t="s">
        <v>8</v>
      </c>
      <c r="AB44">
        <f t="shared" si="2"/>
        <v>36.9</v>
      </c>
      <c r="AC44" t="s">
        <v>10</v>
      </c>
      <c r="AD44" t="str">
        <f t="shared" si="3"/>
        <v>_OPOrign[41] = 2.62;   _OLOrign[41] = 36.9;</v>
      </c>
    </row>
    <row r="45" spans="1:30" x14ac:dyDescent="0.2">
      <c r="A45">
        <v>42</v>
      </c>
      <c r="B45">
        <v>0</v>
      </c>
      <c r="C45">
        <v>3.79</v>
      </c>
      <c r="D45" t="s">
        <v>12</v>
      </c>
      <c r="E45">
        <f>A45</f>
        <v>42</v>
      </c>
      <c r="F45" t="s">
        <v>8</v>
      </c>
      <c r="G45">
        <f t="shared" si="0"/>
        <v>3.79</v>
      </c>
      <c r="H45" t="s">
        <v>10</v>
      </c>
      <c r="I45" t="str">
        <f t="shared" si="1"/>
        <v>_SLOrign[42] = 3.79;</v>
      </c>
      <c r="K45" t="s">
        <v>14</v>
      </c>
      <c r="L45">
        <v>42</v>
      </c>
      <c r="M45" t="s">
        <v>15</v>
      </c>
      <c r="N45">
        <v>24.19</v>
      </c>
      <c r="O45" t="s">
        <v>13</v>
      </c>
      <c r="P45" t="str">
        <f t="shared" si="4"/>
        <v>d(42)=24.19;</v>
      </c>
      <c r="R45">
        <v>42</v>
      </c>
      <c r="S45">
        <v>2.58</v>
      </c>
      <c r="T45">
        <v>37.6</v>
      </c>
      <c r="U45" t="s">
        <v>7</v>
      </c>
      <c r="V45">
        <f>R45</f>
        <v>42</v>
      </c>
      <c r="W45" t="s">
        <v>8</v>
      </c>
      <c r="X45">
        <f>S45</f>
        <v>2.58</v>
      </c>
      <c r="Y45" t="s">
        <v>9</v>
      </c>
      <c r="Z45">
        <f>R45</f>
        <v>42</v>
      </c>
      <c r="AA45" t="s">
        <v>8</v>
      </c>
      <c r="AB45">
        <f t="shared" si="2"/>
        <v>37.6</v>
      </c>
      <c r="AC45" t="s">
        <v>10</v>
      </c>
      <c r="AD45" t="str">
        <f t="shared" si="3"/>
        <v>_OPOrign[42] = 2.58;   _OLOrign[42] = 37.6;</v>
      </c>
    </row>
    <row r="46" spans="1:30" x14ac:dyDescent="0.2">
      <c r="A46">
        <v>43</v>
      </c>
      <c r="B46">
        <v>0</v>
      </c>
      <c r="C46">
        <v>3.26</v>
      </c>
      <c r="D46" t="s">
        <v>12</v>
      </c>
      <c r="E46">
        <f>A46</f>
        <v>43</v>
      </c>
      <c r="F46" t="s">
        <v>8</v>
      </c>
      <c r="G46">
        <f t="shared" si="0"/>
        <v>3.26</v>
      </c>
      <c r="H46" t="s">
        <v>10</v>
      </c>
      <c r="I46" t="str">
        <f t="shared" si="1"/>
        <v>_SLOrign[43] = 3.26;</v>
      </c>
      <c r="K46" t="s">
        <v>14</v>
      </c>
      <c r="L46">
        <v>43</v>
      </c>
      <c r="M46" t="s">
        <v>15</v>
      </c>
      <c r="N46">
        <v>23.99</v>
      </c>
      <c r="O46" t="s">
        <v>13</v>
      </c>
      <c r="P46" t="str">
        <f t="shared" si="4"/>
        <v>d(43)=23.99;</v>
      </c>
      <c r="R46">
        <v>43</v>
      </c>
      <c r="S46">
        <v>2.5499999999999998</v>
      </c>
      <c r="T46">
        <v>38.29</v>
      </c>
      <c r="U46" t="s">
        <v>7</v>
      </c>
      <c r="V46">
        <f>R46</f>
        <v>43</v>
      </c>
      <c r="W46" t="s">
        <v>8</v>
      </c>
      <c r="X46">
        <f>S46</f>
        <v>2.5499999999999998</v>
      </c>
      <c r="Y46" t="s">
        <v>9</v>
      </c>
      <c r="Z46">
        <f>R46</f>
        <v>43</v>
      </c>
      <c r="AA46" t="s">
        <v>8</v>
      </c>
      <c r="AB46">
        <f t="shared" si="2"/>
        <v>38.29</v>
      </c>
      <c r="AC46" t="s">
        <v>10</v>
      </c>
      <c r="AD46" t="str">
        <f t="shared" si="3"/>
        <v>_OPOrign[43] = 2.55;   _OLOrign[43] = 38.29;</v>
      </c>
    </row>
    <row r="47" spans="1:30" x14ac:dyDescent="0.2">
      <c r="A47">
        <v>44</v>
      </c>
      <c r="B47">
        <v>0</v>
      </c>
      <c r="C47">
        <v>2.76</v>
      </c>
      <c r="D47" t="s">
        <v>12</v>
      </c>
      <c r="E47">
        <f>A47</f>
        <v>44</v>
      </c>
      <c r="F47" t="s">
        <v>8</v>
      </c>
      <c r="G47">
        <f t="shared" si="0"/>
        <v>2.76</v>
      </c>
      <c r="H47" t="s">
        <v>10</v>
      </c>
      <c r="I47" t="str">
        <f t="shared" si="1"/>
        <v>_SLOrign[44] = 2.76;</v>
      </c>
      <c r="K47" t="s">
        <v>14</v>
      </c>
      <c r="L47">
        <v>44</v>
      </c>
      <c r="M47" t="s">
        <v>15</v>
      </c>
      <c r="N47">
        <v>23.8</v>
      </c>
      <c r="O47" t="s">
        <v>13</v>
      </c>
      <c r="P47" t="str">
        <f t="shared" si="4"/>
        <v>d(44)=23.8;</v>
      </c>
      <c r="R47">
        <v>44</v>
      </c>
      <c r="S47">
        <v>2.52</v>
      </c>
      <c r="T47">
        <v>38.97</v>
      </c>
      <c r="U47" t="s">
        <v>7</v>
      </c>
      <c r="V47">
        <f>R47</f>
        <v>44</v>
      </c>
      <c r="W47" t="s">
        <v>8</v>
      </c>
      <c r="X47">
        <f>S47</f>
        <v>2.52</v>
      </c>
      <c r="Y47" t="s">
        <v>9</v>
      </c>
      <c r="Z47">
        <f>R47</f>
        <v>44</v>
      </c>
      <c r="AA47" t="s">
        <v>8</v>
      </c>
      <c r="AB47">
        <f t="shared" si="2"/>
        <v>38.97</v>
      </c>
      <c r="AC47" t="s">
        <v>10</v>
      </c>
      <c r="AD47" t="str">
        <f t="shared" si="3"/>
        <v>_OPOrign[44] = 2.52;   _OLOrign[44] = 38.97;</v>
      </c>
    </row>
    <row r="48" spans="1:30" x14ac:dyDescent="0.2">
      <c r="A48">
        <v>45</v>
      </c>
      <c r="B48">
        <v>0</v>
      </c>
      <c r="C48">
        <v>2.29</v>
      </c>
      <c r="D48" t="s">
        <v>12</v>
      </c>
      <c r="E48">
        <f>A48</f>
        <v>45</v>
      </c>
      <c r="F48" t="s">
        <v>8</v>
      </c>
      <c r="G48">
        <f t="shared" si="0"/>
        <v>2.29</v>
      </c>
      <c r="H48" t="s">
        <v>10</v>
      </c>
      <c r="I48" t="str">
        <f t="shared" ref="I48" si="5">D48&amp;E48&amp;F48&amp;G48&amp;H48</f>
        <v>_SLOrign[45] = 2.29;</v>
      </c>
      <c r="K48" t="s">
        <v>14</v>
      </c>
      <c r="L48">
        <v>45</v>
      </c>
      <c r="M48" t="s">
        <v>15</v>
      </c>
      <c r="N48">
        <v>23.6</v>
      </c>
      <c r="O48" t="s">
        <v>13</v>
      </c>
      <c r="P48" t="str">
        <f t="shared" si="4"/>
        <v>d(45)=23.6;</v>
      </c>
      <c r="R48">
        <v>45</v>
      </c>
      <c r="S48">
        <v>2.4900000000000002</v>
      </c>
      <c r="T48">
        <v>39.64</v>
      </c>
      <c r="U48" t="s">
        <v>7</v>
      </c>
      <c r="V48">
        <f>R48</f>
        <v>45</v>
      </c>
      <c r="W48" t="s">
        <v>8</v>
      </c>
      <c r="X48">
        <f>S48</f>
        <v>2.4900000000000002</v>
      </c>
      <c r="Y48" t="s">
        <v>9</v>
      </c>
      <c r="Z48">
        <f>R48</f>
        <v>45</v>
      </c>
      <c r="AA48" t="s">
        <v>8</v>
      </c>
      <c r="AB48">
        <f t="shared" si="2"/>
        <v>39.64</v>
      </c>
      <c r="AC48" t="s">
        <v>10</v>
      </c>
      <c r="AD48" t="str">
        <f t="shared" si="3"/>
        <v>_OPOrign[45] = 2.49;   _OLOrign[45] = 39.64;</v>
      </c>
    </row>
  </sheetData>
  <mergeCells count="2">
    <mergeCell ref="A1:C1"/>
    <mergeCell ref="R1:T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Lab-PC</cp:lastModifiedBy>
  <dcterms:created xsi:type="dcterms:W3CDTF">2015-06-05T18:19:34Z</dcterms:created>
  <dcterms:modified xsi:type="dcterms:W3CDTF">2024-08-10T12:18:21Z</dcterms:modified>
</cp:coreProperties>
</file>